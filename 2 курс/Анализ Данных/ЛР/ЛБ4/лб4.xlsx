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N4" i="1"/>
  <c r="N5" i="1"/>
  <c r="N6" i="1"/>
  <c r="N7" i="1"/>
  <c r="N8" i="1"/>
  <c r="N9" i="1"/>
  <c r="N10" i="1"/>
  <c r="N11" i="1"/>
  <c r="N12" i="1"/>
  <c r="N13" i="1"/>
  <c r="N14" i="1"/>
  <c r="N15" i="1"/>
  <c r="N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G3" i="1" l="1"/>
  <c r="G6" i="1"/>
  <c r="G7" i="1"/>
  <c r="G10" i="1"/>
  <c r="G11" i="1"/>
  <c r="G14" i="1"/>
  <c r="G15" i="1"/>
  <c r="F3" i="1"/>
  <c r="F4" i="1"/>
  <c r="G4" i="1" s="1"/>
  <c r="F5" i="1"/>
  <c r="G5" i="1" s="1"/>
  <c r="F6" i="1"/>
  <c r="F7" i="1"/>
  <c r="F8" i="1"/>
  <c r="G8" i="1" s="1"/>
  <c r="F9" i="1"/>
  <c r="G9" i="1" s="1"/>
  <c r="F10" i="1"/>
  <c r="F11" i="1"/>
  <c r="F12" i="1"/>
  <c r="G12" i="1" s="1"/>
  <c r="F13" i="1"/>
  <c r="G13" i="1" s="1"/>
  <c r="F14" i="1"/>
  <c r="F15" i="1"/>
  <c r="F2" i="1"/>
  <c r="G2" i="1" s="1"/>
  <c r="B1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2" i="1"/>
  <c r="H2" i="1" l="1"/>
  <c r="I5" i="1" l="1"/>
  <c r="J5" i="1" s="1"/>
  <c r="J2" i="1"/>
  <c r="M2" i="1" s="1"/>
  <c r="I6" i="1"/>
  <c r="J6" i="1" s="1"/>
  <c r="I10" i="1"/>
  <c r="J10" i="1" s="1"/>
  <c r="I14" i="1"/>
  <c r="J14" i="1" s="1"/>
  <c r="I8" i="1"/>
  <c r="J8" i="1" s="1"/>
  <c r="I9" i="1"/>
  <c r="J9" i="1" s="1"/>
  <c r="I13" i="1"/>
  <c r="J13" i="1" s="1"/>
  <c r="I3" i="1"/>
  <c r="J3" i="1" s="1"/>
  <c r="I7" i="1"/>
  <c r="J7" i="1" s="1"/>
  <c r="I11" i="1"/>
  <c r="J11" i="1" s="1"/>
  <c r="I15" i="1"/>
  <c r="J15" i="1" s="1"/>
  <c r="I4" i="1"/>
  <c r="J4" i="1" s="1"/>
  <c r="I12" i="1"/>
  <c r="J12" i="1" s="1"/>
  <c r="O5" i="1" l="1"/>
  <c r="P5" i="1" s="1"/>
  <c r="O9" i="1"/>
  <c r="P9" i="1" s="1"/>
  <c r="O13" i="1"/>
  <c r="P13" i="1" s="1"/>
  <c r="O4" i="1"/>
  <c r="P4" i="1" s="1"/>
  <c r="O11" i="1"/>
  <c r="P11" i="1" s="1"/>
  <c r="O12" i="1"/>
  <c r="P12" i="1" s="1"/>
  <c r="O6" i="1"/>
  <c r="P6" i="1" s="1"/>
  <c r="O10" i="1"/>
  <c r="P10" i="1" s="1"/>
  <c r="O14" i="1"/>
  <c r="P14" i="1" s="1"/>
  <c r="O2" i="1"/>
  <c r="P2" i="1" s="1"/>
  <c r="O7" i="1"/>
  <c r="P7" i="1" s="1"/>
  <c r="O15" i="1"/>
  <c r="P15" i="1" s="1"/>
  <c r="O8" i="1"/>
  <c r="P8" i="1" s="1"/>
  <c r="O3" i="1"/>
  <c r="P3" i="1" s="1"/>
  <c r="Q2" i="1" l="1"/>
  <c r="R2" i="1" s="1"/>
</calcChain>
</file>

<file path=xl/sharedStrings.xml><?xml version="1.0" encoding="utf-8"?>
<sst xmlns="http://schemas.openxmlformats.org/spreadsheetml/2006/main" count="33" uniqueCount="33">
  <si>
    <t>Сумма затрат предприятий на проивзодство, тыс. руб.</t>
  </si>
  <si>
    <r>
      <t>Количество предприятий, f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</si>
  <si>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Середина интервала, x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</si>
  <si>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</si>
  <si>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</si>
  <si>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</si>
  <si>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</si>
  <si>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</si>
  <si>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</si>
  <si>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</si>
  <si>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</si>
  <si>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</si>
  <si>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120-130</t>
  </si>
  <si>
    <t>130-140</t>
  </si>
  <si>
    <t>140-150</t>
  </si>
  <si>
    <t>150-160</t>
  </si>
  <si>
    <t>160-170</t>
  </si>
  <si>
    <t>ИТОГ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</si>
  <si>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i</t>
    </r>
    <r>
      <rPr>
        <sz val="11"/>
        <color theme="1"/>
        <rFont val="Calibri"/>
        <family val="2"/>
        <charset val="204"/>
        <scheme val="minor"/>
      </rPr>
      <t>*f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</si>
  <si>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t>x</t>
    </r>
    <r>
      <rPr>
        <vertAlign val="superscript"/>
        <sz val="11"/>
        <color theme="1"/>
        <rFont val="Calibri"/>
        <family val="2"/>
        <charset val="204"/>
        <scheme val="minor"/>
      </rPr>
      <t>-</t>
    </r>
  </si>
  <si>
    <r>
      <t>(x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</rPr>
      <t>-x</t>
    </r>
    <r>
      <rPr>
        <vertAlign val="superscript"/>
        <sz val="11"/>
        <color theme="1"/>
        <rFont val="Calibri"/>
        <family val="2"/>
        <charset val="204"/>
      </rPr>
      <t>-</t>
    </r>
    <r>
      <rPr>
        <sz val="11"/>
        <color theme="1"/>
        <rFont val="Calibri"/>
        <family val="2"/>
        <charset val="204"/>
      </rPr>
      <t>)</t>
    </r>
    <r>
      <rPr>
        <vertAlign val="superscript"/>
        <sz val="11"/>
        <color theme="1"/>
        <rFont val="Calibri"/>
        <family val="2"/>
        <charset val="204"/>
      </rPr>
      <t>2</t>
    </r>
  </si>
  <si>
    <r>
      <t>(x</t>
    </r>
    <r>
      <rPr>
        <vertAlign val="subscript"/>
        <sz val="11"/>
        <color theme="1"/>
        <rFont val="Calibri"/>
        <family val="2"/>
        <charset val="204"/>
      </rPr>
      <t>i</t>
    </r>
    <r>
      <rPr>
        <sz val="11"/>
        <color theme="1"/>
        <rFont val="Calibri"/>
        <family val="2"/>
        <charset val="204"/>
      </rPr>
      <t>-x</t>
    </r>
    <r>
      <rPr>
        <vertAlign val="superscript"/>
        <sz val="11"/>
        <color theme="1"/>
        <rFont val="Calibri"/>
        <family val="2"/>
        <charset val="204"/>
      </rPr>
      <t>-</t>
    </r>
    <r>
      <rPr>
        <sz val="11"/>
        <color theme="1"/>
        <rFont val="Calibri"/>
        <family val="2"/>
        <charset val="204"/>
      </rPr>
      <t>)</t>
    </r>
    <r>
      <rPr>
        <vertAlign val="superscript"/>
        <sz val="11"/>
        <color theme="1"/>
        <rFont val="Calibri"/>
        <family val="2"/>
        <charset val="204"/>
      </rPr>
      <t>2</t>
    </r>
    <r>
      <rPr>
        <sz val="11"/>
        <color theme="1"/>
        <rFont val="Calibri"/>
        <family val="2"/>
        <charset val="204"/>
      </rPr>
      <t>*f</t>
    </r>
    <r>
      <rPr>
        <vertAlign val="subscript"/>
        <sz val="11"/>
        <color theme="1"/>
        <rFont val="Calibri"/>
        <family val="2"/>
        <charset val="204"/>
      </rPr>
      <t>i</t>
    </r>
  </si>
  <si>
    <t>σ</t>
  </si>
  <si>
    <r>
      <t>t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</si>
  <si>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r>
      <rPr>
        <sz val="11"/>
        <color theme="1"/>
        <rFont val="Calibri"/>
        <family val="2"/>
        <charset val="204"/>
      </rPr>
      <t>ϕ</t>
    </r>
    <r>
      <rPr>
        <sz val="11"/>
        <color theme="1"/>
        <rFont val="Calibri"/>
        <family val="2"/>
      </rPr>
      <t>(t)</t>
    </r>
  </si>
  <si>
    <t>N</t>
  </si>
  <si>
    <t>d</t>
  </si>
  <si>
    <r>
      <t>f</t>
    </r>
    <r>
      <rPr>
        <vertAlign val="subscript"/>
        <sz val="11"/>
        <color theme="1"/>
        <rFont val="Calibri"/>
        <family val="2"/>
        <charset val="204"/>
      </rPr>
      <t>m</t>
    </r>
  </si>
  <si>
    <t>Fi</t>
  </si>
  <si>
    <t>Fm</t>
  </si>
  <si>
    <t>Di</t>
  </si>
  <si>
    <r>
      <t>D</t>
    </r>
    <r>
      <rPr>
        <vertAlign val="subscript"/>
        <sz val="11"/>
        <color theme="1"/>
        <rFont val="Calibri"/>
        <family val="2"/>
        <charset val="204"/>
      </rPr>
      <t>max</t>
    </r>
  </si>
  <si>
    <t>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</si>
</sst>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.000"/>
    <numFmt numFmtId="169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  <scheme val="minor"/>
    </font>
    <font>
      <vertAlign val="super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charset val="204"/>
    </font>
    <font>
      <vertAlign val="superscript"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8" fontId="0" fillId="3" borderId="1" xfId="0" applyNumberForma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9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zoomScaleNormal="100" workbookViewId="0">
      <selection activeCell="K27" sqref="K27"/>
    </sheetView>
  </sheetViews>
  <sheetFormatPr defaultRowHeight="15" x14ac:dyDescent="0.25"/>
  <cols>
    <col min="1" max="1" width="17.7109375" customWidth="1"/>
    <col min="2" max="2" width="13.85546875" customWidth="1"/>
    <col min="3" max="3" width="11.7109375" customWidth="1"/>
  </cols>
  <sheetData>
    <row r="1" spans="1:18" ht="60" x14ac:dyDescent="0.25">
      <c r="A1" s="3" t="s">
        <v>0</v>
      </c>
      <c r="B1" s="3" t="s">
        <v>1</v>
      </c>
      <c r="C1" s="3" t="s">
        <v>2</v>
      </c>
      <c r="D1" s="4" t="s">
        <v>18</v>
      </c>
      <c r="E1" s="4" t="s">
        <v>19</v>
      </c>
      <c r="F1" s="5" t="s">
        <v>20</v>
      </c>
      <c r="G1" s="5" t="s">
        <v>21</v>
      </c>
      <c r="H1" s="5" t="s">
        <v>22</v>
      </c>
      <c r="I1" s="4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</row>
    <row r="2" spans="1:18" x14ac:dyDescent="0.25">
      <c r="A2" s="2" t="s">
        <v>3</v>
      </c>
      <c r="B2" s="6">
        <v>2</v>
      </c>
      <c r="C2" s="6">
        <v>35</v>
      </c>
      <c r="D2" s="6">
        <f>C2*B2</f>
        <v>70</v>
      </c>
      <c r="E2" s="7">
        <v>97.222222222222229</v>
      </c>
      <c r="F2" s="6">
        <f>(C2-$E$2)*(C2-$E$2)</f>
        <v>3871.6049382716055</v>
      </c>
      <c r="G2" s="6">
        <f>F2*B2</f>
        <v>7743.2098765432111</v>
      </c>
      <c r="H2" s="7">
        <f>SQRT((SUM(G2:G15))/(SUM(B2:B15)))</f>
        <v>29.6377303741092</v>
      </c>
      <c r="I2" s="8">
        <f>(C2-$E$2)/$H$2</f>
        <v>-2.0994260166621275</v>
      </c>
      <c r="J2" s="9">
        <f>(1/SQRT(2*3.1415))*(POWER(2.7182,(-I2*I2)/2))</f>
        <v>4.4040207981545197E-2</v>
      </c>
      <c r="K2" s="6">
        <v>108</v>
      </c>
      <c r="L2" s="6">
        <v>10</v>
      </c>
      <c r="M2" s="10">
        <f>J2*(($K$2*$L$2)/$H$2)</f>
        <v>1.6048268210719354</v>
      </c>
      <c r="N2" s="6">
        <v>2</v>
      </c>
      <c r="O2" s="10">
        <f>M2</f>
        <v>1.6048268210719354</v>
      </c>
      <c r="P2" s="10">
        <f>N2-O2</f>
        <v>0.39517317892806458</v>
      </c>
      <c r="Q2" s="10">
        <f>MAX(P2:P15)</f>
        <v>3.1711385504006344</v>
      </c>
      <c r="R2" s="6">
        <f>Q2/SQRT(K2)</f>
        <v>0.30514294928523433</v>
      </c>
    </row>
    <row r="3" spans="1:18" x14ac:dyDescent="0.25">
      <c r="A3" s="2" t="s">
        <v>4</v>
      </c>
      <c r="B3" s="6">
        <v>4</v>
      </c>
      <c r="C3" s="6">
        <v>45</v>
      </c>
      <c r="D3" s="6">
        <f t="shared" ref="D3:D15" si="0">C3*B3</f>
        <v>180</v>
      </c>
      <c r="E3" s="6"/>
      <c r="F3" s="6">
        <f t="shared" ref="F3:F15" si="1">(C3-$E$2)*(C3-$E$2)</f>
        <v>2727.1604938271612</v>
      </c>
      <c r="G3" s="6">
        <f t="shared" ref="G3:G15" si="2">F3*B3</f>
        <v>10908.641975308645</v>
      </c>
      <c r="H3" s="6"/>
      <c r="I3" s="8">
        <f t="shared" ref="I3:I15" si="3">(C3-$E$2)/$H$2</f>
        <v>-1.7620182639842858</v>
      </c>
      <c r="J3" s="9">
        <f t="shared" ref="J3:J15" si="4">(1/SQRT(2*3.1415))*(POWER(2.7182,(-I3*I3)/2))</f>
        <v>8.4480779098433378E-2</v>
      </c>
      <c r="K3" s="6"/>
      <c r="L3" s="6"/>
      <c r="M3" s="10">
        <f t="shared" ref="M3:M15" si="5">J3*(($K$2*$L$2)/$H$2)</f>
        <v>3.0784827405681656</v>
      </c>
      <c r="N3" s="11">
        <f>SUM($B$2:B3)</f>
        <v>6</v>
      </c>
      <c r="O3" s="10">
        <f>SUM($M$2:M3)</f>
        <v>4.683309561640101</v>
      </c>
      <c r="P3" s="10">
        <f t="shared" ref="P3:P15" si="6">N3-O3</f>
        <v>1.316690438359899</v>
      </c>
      <c r="Q3" s="6"/>
      <c r="R3" s="6"/>
    </row>
    <row r="4" spans="1:18" x14ac:dyDescent="0.25">
      <c r="A4" s="2" t="s">
        <v>5</v>
      </c>
      <c r="B4" s="6">
        <v>6</v>
      </c>
      <c r="C4" s="6">
        <v>55</v>
      </c>
      <c r="D4" s="6">
        <f t="shared" si="0"/>
        <v>330</v>
      </c>
      <c r="E4" s="6"/>
      <c r="F4" s="6">
        <f t="shared" si="1"/>
        <v>1782.7160493827166</v>
      </c>
      <c r="G4" s="6">
        <f t="shared" si="2"/>
        <v>10696.296296296299</v>
      </c>
      <c r="H4" s="6"/>
      <c r="I4" s="8">
        <f t="shared" si="3"/>
        <v>-1.4246105113064438</v>
      </c>
      <c r="J4" s="9">
        <f t="shared" si="4"/>
        <v>0.14461925850289278</v>
      </c>
      <c r="K4" s="6"/>
      <c r="L4" s="6"/>
      <c r="M4" s="10">
        <f t="shared" si="5"/>
        <v>5.2699311725828686</v>
      </c>
      <c r="N4" s="11">
        <f>SUM($B$2:B4)</f>
        <v>12</v>
      </c>
      <c r="O4" s="10">
        <f>SUM($M$2:M4)</f>
        <v>9.9532407342229696</v>
      </c>
      <c r="P4" s="10">
        <f t="shared" si="6"/>
        <v>2.0467592657770304</v>
      </c>
      <c r="Q4" s="6"/>
      <c r="R4" s="6"/>
    </row>
    <row r="5" spans="1:18" x14ac:dyDescent="0.25">
      <c r="A5" s="2" t="s">
        <v>6</v>
      </c>
      <c r="B5" s="6">
        <v>8</v>
      </c>
      <c r="C5" s="6">
        <v>65</v>
      </c>
      <c r="D5" s="6">
        <f t="shared" si="0"/>
        <v>520</v>
      </c>
      <c r="E5" s="6"/>
      <c r="F5" s="6">
        <f t="shared" si="1"/>
        <v>1038.271604938272</v>
      </c>
      <c r="G5" s="6">
        <f t="shared" si="2"/>
        <v>8306.1728395061764</v>
      </c>
      <c r="H5" s="6"/>
      <c r="I5" s="8">
        <f t="shared" si="3"/>
        <v>-1.0872027586286019</v>
      </c>
      <c r="J5" s="9">
        <f t="shared" si="4"/>
        <v>0.22092965868936071</v>
      </c>
      <c r="K5" s="6"/>
      <c r="L5" s="6"/>
      <c r="M5" s="10">
        <f t="shared" si="5"/>
        <v>8.050685000932063</v>
      </c>
      <c r="N5" s="11">
        <f>SUM($B$2:B5)</f>
        <v>20</v>
      </c>
      <c r="O5" s="10">
        <f>SUM($M$2:M5)</f>
        <v>18.003925735155033</v>
      </c>
      <c r="P5" s="10">
        <f t="shared" si="6"/>
        <v>1.9960742648449674</v>
      </c>
      <c r="Q5" s="6"/>
      <c r="R5" s="6"/>
    </row>
    <row r="6" spans="1:18" x14ac:dyDescent="0.25">
      <c r="A6" s="2" t="s">
        <v>7</v>
      </c>
      <c r="B6" s="6">
        <v>11</v>
      </c>
      <c r="C6" s="6">
        <v>75</v>
      </c>
      <c r="D6" s="6">
        <f t="shared" si="0"/>
        <v>825</v>
      </c>
      <c r="E6" s="6"/>
      <c r="F6" s="6">
        <f t="shared" si="1"/>
        <v>493.82716049382742</v>
      </c>
      <c r="G6" s="6">
        <f t="shared" si="2"/>
        <v>5432.0987654321016</v>
      </c>
      <c r="H6" s="6"/>
      <c r="I6" s="8">
        <f t="shared" si="3"/>
        <v>-0.74979500595075999</v>
      </c>
      <c r="J6" s="9">
        <f t="shared" si="4"/>
        <v>0.30119071801514735</v>
      </c>
      <c r="K6" s="6"/>
      <c r="L6" s="6"/>
      <c r="M6" s="10">
        <f t="shared" si="5"/>
        <v>10.975400995634978</v>
      </c>
      <c r="N6" s="11">
        <f>SUM($B$2:B6)</f>
        <v>31</v>
      </c>
      <c r="O6" s="10">
        <f>SUM($M$2:M6)</f>
        <v>28.97932673079001</v>
      </c>
      <c r="P6" s="10">
        <f t="shared" si="6"/>
        <v>2.0206732692099898</v>
      </c>
      <c r="Q6" s="6"/>
      <c r="R6" s="6"/>
    </row>
    <row r="7" spans="1:18" x14ac:dyDescent="0.25">
      <c r="A7" s="2" t="s">
        <v>8</v>
      </c>
      <c r="B7" s="6">
        <v>14</v>
      </c>
      <c r="C7" s="6">
        <v>85</v>
      </c>
      <c r="D7" s="6">
        <f t="shared" si="0"/>
        <v>1190</v>
      </c>
      <c r="E7" s="6"/>
      <c r="F7" s="6">
        <f t="shared" si="1"/>
        <v>149.38271604938288</v>
      </c>
      <c r="G7" s="6">
        <f t="shared" si="2"/>
        <v>2091.3580246913602</v>
      </c>
      <c r="H7" s="6"/>
      <c r="I7" s="8">
        <f t="shared" si="3"/>
        <v>-0.41238725327291809</v>
      </c>
      <c r="J7" s="9">
        <f t="shared" si="4"/>
        <v>0.36642813909343447</v>
      </c>
      <c r="K7" s="6"/>
      <c r="L7" s="6"/>
      <c r="M7" s="10">
        <f t="shared" si="5"/>
        <v>13.352655052379454</v>
      </c>
      <c r="N7" s="11">
        <f>SUM($B$2:B7)</f>
        <v>45</v>
      </c>
      <c r="O7" s="10">
        <f>SUM($M$2:M7)</f>
        <v>42.331981783169468</v>
      </c>
      <c r="P7" s="10">
        <f t="shared" si="6"/>
        <v>2.6680182168305322</v>
      </c>
      <c r="Q7" s="6"/>
      <c r="R7" s="6"/>
    </row>
    <row r="8" spans="1:18" x14ac:dyDescent="0.25">
      <c r="A8" s="2" t="s">
        <v>9</v>
      </c>
      <c r="B8" s="6">
        <v>15</v>
      </c>
      <c r="C8" s="6">
        <v>95</v>
      </c>
      <c r="D8" s="6">
        <f t="shared" si="0"/>
        <v>1425</v>
      </c>
      <c r="E8" s="6"/>
      <c r="F8" s="6">
        <f t="shared" si="1"/>
        <v>4.9382716049382998</v>
      </c>
      <c r="G8" s="6">
        <f t="shared" si="2"/>
        <v>74.074074074074503</v>
      </c>
      <c r="H8" s="6"/>
      <c r="I8" s="8">
        <f t="shared" si="3"/>
        <v>-7.4979500595076187E-2</v>
      </c>
      <c r="J8" s="9">
        <f t="shared" si="4"/>
        <v>0.39782834335144018</v>
      </c>
      <c r="K8" s="6"/>
      <c r="L8" s="6"/>
      <c r="M8" s="10">
        <f t="shared" si="5"/>
        <v>14.496879666429898</v>
      </c>
      <c r="N8" s="11">
        <f>SUM($B$2:B8)</f>
        <v>60</v>
      </c>
      <c r="O8" s="10">
        <f>SUM($M$2:M8)</f>
        <v>56.828861449599366</v>
      </c>
      <c r="P8" s="10">
        <f t="shared" si="6"/>
        <v>3.1711385504006344</v>
      </c>
      <c r="Q8" s="6"/>
      <c r="R8" s="6"/>
    </row>
    <row r="9" spans="1:18" x14ac:dyDescent="0.25">
      <c r="A9" s="2" t="s">
        <v>10</v>
      </c>
      <c r="B9" s="6">
        <v>13</v>
      </c>
      <c r="C9" s="6">
        <v>105</v>
      </c>
      <c r="D9" s="6">
        <f t="shared" si="0"/>
        <v>1365</v>
      </c>
      <c r="E9" s="6"/>
      <c r="F9" s="6">
        <f t="shared" si="1"/>
        <v>60.49382716049373</v>
      </c>
      <c r="G9" s="6">
        <f t="shared" si="2"/>
        <v>786.4197530864185</v>
      </c>
      <c r="H9" s="6"/>
      <c r="I9" s="8">
        <f t="shared" si="3"/>
        <v>0.26242825208276571</v>
      </c>
      <c r="J9" s="9">
        <f t="shared" si="4"/>
        <v>0.3854448936740425</v>
      </c>
      <c r="K9" s="6"/>
      <c r="L9" s="6"/>
      <c r="M9" s="10">
        <f t="shared" si="5"/>
        <v>14.045626298416508</v>
      </c>
      <c r="N9" s="11">
        <f>SUM($B$2:B9)</f>
        <v>73</v>
      </c>
      <c r="O9" s="10">
        <f>SUM($M$2:M9)</f>
        <v>70.874487748015866</v>
      </c>
      <c r="P9" s="10">
        <f t="shared" si="6"/>
        <v>2.1255122519841336</v>
      </c>
      <c r="Q9" s="6"/>
      <c r="R9" s="6"/>
    </row>
    <row r="10" spans="1:18" x14ac:dyDescent="0.25">
      <c r="A10" s="2" t="s">
        <v>11</v>
      </c>
      <c r="B10" s="6">
        <v>11</v>
      </c>
      <c r="C10" s="6">
        <v>115</v>
      </c>
      <c r="D10" s="6">
        <f t="shared" si="0"/>
        <v>1265</v>
      </c>
      <c r="E10" s="6"/>
      <c r="F10" s="6">
        <f t="shared" si="1"/>
        <v>316.04938271604914</v>
      </c>
      <c r="G10" s="6">
        <f t="shared" si="2"/>
        <v>3476.5432098765405</v>
      </c>
      <c r="H10" s="6"/>
      <c r="I10" s="8">
        <f t="shared" si="3"/>
        <v>0.59983600476060761</v>
      </c>
      <c r="J10" s="9">
        <f t="shared" si="4"/>
        <v>0.3332641076277566</v>
      </c>
      <c r="K10" s="6"/>
      <c r="L10" s="6"/>
      <c r="M10" s="10">
        <f t="shared" si="5"/>
        <v>12.144156509109722</v>
      </c>
      <c r="N10" s="11">
        <f>SUM($B$2:B10)</f>
        <v>84</v>
      </c>
      <c r="O10" s="10">
        <f>SUM($M$2:M10)</f>
        <v>83.018644257125587</v>
      </c>
      <c r="P10" s="10">
        <f t="shared" si="6"/>
        <v>0.98135574287441329</v>
      </c>
      <c r="Q10" s="6"/>
      <c r="R10" s="6"/>
    </row>
    <row r="11" spans="1:18" x14ac:dyDescent="0.25">
      <c r="A11" s="2" t="s">
        <v>12</v>
      </c>
      <c r="B11" s="6">
        <v>8</v>
      </c>
      <c r="C11" s="6">
        <v>125</v>
      </c>
      <c r="D11" s="6">
        <f t="shared" si="0"/>
        <v>1000</v>
      </c>
      <c r="E11" s="6"/>
      <c r="F11" s="6">
        <f t="shared" si="1"/>
        <v>771.60493827160462</v>
      </c>
      <c r="G11" s="6">
        <f t="shared" si="2"/>
        <v>6172.839506172837</v>
      </c>
      <c r="H11" s="6"/>
      <c r="I11" s="8">
        <f t="shared" si="3"/>
        <v>0.93724375743844957</v>
      </c>
      <c r="J11" s="9">
        <f t="shared" si="4"/>
        <v>0.2571428542740149</v>
      </c>
      <c r="K11" s="6"/>
      <c r="L11" s="6"/>
      <c r="M11" s="10">
        <f t="shared" si="5"/>
        <v>9.370295198398205</v>
      </c>
      <c r="N11" s="11">
        <f>SUM($B$2:B11)</f>
        <v>92</v>
      </c>
      <c r="O11" s="10">
        <f>SUM($M$2:M11)</f>
        <v>92.388939455523797</v>
      </c>
      <c r="P11" s="10">
        <f t="shared" si="6"/>
        <v>-0.38893945552379705</v>
      </c>
      <c r="Q11" s="6"/>
      <c r="R11" s="6"/>
    </row>
    <row r="12" spans="1:18" x14ac:dyDescent="0.25">
      <c r="A12" s="2" t="s">
        <v>13</v>
      </c>
      <c r="B12" s="6">
        <v>6</v>
      </c>
      <c r="C12" s="6">
        <v>135</v>
      </c>
      <c r="D12" s="6">
        <f t="shared" si="0"/>
        <v>810</v>
      </c>
      <c r="E12" s="6"/>
      <c r="F12" s="6">
        <f t="shared" si="1"/>
        <v>1427.1604938271601</v>
      </c>
      <c r="G12" s="6">
        <f t="shared" si="2"/>
        <v>8562.9629629629599</v>
      </c>
      <c r="H12" s="6"/>
      <c r="I12" s="8">
        <f t="shared" si="3"/>
        <v>1.2746515101162914</v>
      </c>
      <c r="J12" s="9">
        <f t="shared" si="4"/>
        <v>0.17705983233548186</v>
      </c>
      <c r="K12" s="6"/>
      <c r="L12" s="6"/>
      <c r="M12" s="10">
        <f t="shared" si="5"/>
        <v>6.4520668927256857</v>
      </c>
      <c r="N12" s="11">
        <f>SUM($B$2:B12)</f>
        <v>98</v>
      </c>
      <c r="O12" s="10">
        <f>SUM($M$2:M12)</f>
        <v>98.841006348249479</v>
      </c>
      <c r="P12" s="10">
        <f t="shared" si="6"/>
        <v>-0.84100634824947917</v>
      </c>
      <c r="Q12" s="6"/>
      <c r="R12" s="6"/>
    </row>
    <row r="13" spans="1:18" x14ac:dyDescent="0.25">
      <c r="A13" s="2" t="s">
        <v>14</v>
      </c>
      <c r="B13" s="6">
        <v>5</v>
      </c>
      <c r="C13" s="6">
        <v>145</v>
      </c>
      <c r="D13" s="6">
        <f t="shared" si="0"/>
        <v>725</v>
      </c>
      <c r="E13" s="6"/>
      <c r="F13" s="6">
        <f t="shared" si="1"/>
        <v>2282.7160493827155</v>
      </c>
      <c r="G13" s="6">
        <f t="shared" si="2"/>
        <v>11413.580246913578</v>
      </c>
      <c r="H13" s="6"/>
      <c r="I13" s="8">
        <f t="shared" si="3"/>
        <v>1.6120592627941335</v>
      </c>
      <c r="J13" s="9">
        <f t="shared" si="4"/>
        <v>0.10879910130803364</v>
      </c>
      <c r="K13" s="6"/>
      <c r="L13" s="6"/>
      <c r="M13" s="10">
        <f t="shared" si="5"/>
        <v>3.9646433086969477</v>
      </c>
      <c r="N13" s="11">
        <f>SUM($B$2:B13)</f>
        <v>103</v>
      </c>
      <c r="O13" s="10">
        <f>SUM($M$2:M13)</f>
        <v>102.80564965694643</v>
      </c>
      <c r="P13" s="10">
        <f t="shared" si="6"/>
        <v>0.19435034305357135</v>
      </c>
      <c r="Q13" s="6"/>
      <c r="R13" s="6"/>
    </row>
    <row r="14" spans="1:18" x14ac:dyDescent="0.25">
      <c r="A14" s="2" t="s">
        <v>15</v>
      </c>
      <c r="B14" s="6">
        <v>3</v>
      </c>
      <c r="C14" s="6">
        <v>155</v>
      </c>
      <c r="D14" s="6">
        <f t="shared" si="0"/>
        <v>465</v>
      </c>
      <c r="E14" s="6"/>
      <c r="F14" s="6">
        <f t="shared" si="1"/>
        <v>3338.2716049382707</v>
      </c>
      <c r="G14" s="6">
        <f t="shared" si="2"/>
        <v>10014.814814814812</v>
      </c>
      <c r="H14" s="6"/>
      <c r="I14" s="8">
        <f t="shared" si="3"/>
        <v>1.9494670154719753</v>
      </c>
      <c r="J14" s="9">
        <f t="shared" si="4"/>
        <v>5.9660960169841779E-2</v>
      </c>
      <c r="K14" s="6"/>
      <c r="L14" s="6"/>
      <c r="M14" s="10">
        <f t="shared" si="5"/>
        <v>2.1740476132989235</v>
      </c>
      <c r="N14" s="11">
        <f>SUM($B$2:B14)</f>
        <v>106</v>
      </c>
      <c r="O14" s="10">
        <f>SUM($M$2:M14)</f>
        <v>104.97969727024535</v>
      </c>
      <c r="P14" s="10">
        <f t="shared" si="6"/>
        <v>1.020302729754647</v>
      </c>
      <c r="Q14" s="6"/>
      <c r="R14" s="6"/>
    </row>
    <row r="15" spans="1:18" x14ac:dyDescent="0.25">
      <c r="A15" s="2" t="s">
        <v>16</v>
      </c>
      <c r="B15" s="6">
        <v>2</v>
      </c>
      <c r="C15" s="6">
        <v>165</v>
      </c>
      <c r="D15" s="6">
        <f t="shared" si="0"/>
        <v>330</v>
      </c>
      <c r="E15" s="6"/>
      <c r="F15" s="6">
        <f t="shared" si="1"/>
        <v>4593.8271604938263</v>
      </c>
      <c r="G15" s="6">
        <f t="shared" si="2"/>
        <v>9187.6543209876527</v>
      </c>
      <c r="H15" s="6"/>
      <c r="I15" s="8">
        <f t="shared" si="3"/>
        <v>2.2868747681498172</v>
      </c>
      <c r="J15" s="9">
        <f t="shared" si="4"/>
        <v>2.9195427576134456E-2</v>
      </c>
      <c r="K15" s="6"/>
      <c r="L15" s="6"/>
      <c r="M15" s="10">
        <f t="shared" si="5"/>
        <v>1.0638824695486797</v>
      </c>
      <c r="N15" s="11">
        <f>SUM($B$2:B15)</f>
        <v>108</v>
      </c>
      <c r="O15" s="10">
        <f>SUM($M$2:M15)</f>
        <v>106.04357973979403</v>
      </c>
      <c r="P15" s="10">
        <f t="shared" si="6"/>
        <v>1.9564202602059737</v>
      </c>
      <c r="Q15" s="6"/>
      <c r="R15" s="6"/>
    </row>
    <row r="16" spans="1:18" x14ac:dyDescent="0.25">
      <c r="A16" s="4" t="s">
        <v>17</v>
      </c>
      <c r="B16" s="6">
        <f>SUM(B2:B15)</f>
        <v>108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10">
        <v>106.04357973979403</v>
      </c>
      <c r="N16" s="6"/>
      <c r="O16" s="6"/>
      <c r="P16" s="6"/>
      <c r="Q16" s="6"/>
      <c r="R16" s="6"/>
    </row>
    <row r="17" spans="3:3" x14ac:dyDescent="0.25">
      <c r="C1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2023-12-22T13:58:58Z</dcterms:modified>
</cp:coreProperties>
</file>