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Задание 1" sheetId="1" r:id="rId1"/>
    <sheet name="Задание 2" sheetId="2" r:id="rId2"/>
    <sheet name="Задание 3" sheetId="3" r:id="rId3"/>
    <sheet name="Задание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4" l="1"/>
  <c r="B5" i="4"/>
  <c r="B4" i="4"/>
  <c r="B9" i="4" s="1"/>
  <c r="B10" i="4" s="1"/>
  <c r="J5" i="4" s="1"/>
  <c r="I6" i="4" s="1"/>
  <c r="J6" i="4" s="1"/>
  <c r="I7" i="4" s="1"/>
  <c r="J7" i="4" s="1"/>
  <c r="I8" i="4" s="1"/>
  <c r="J8" i="4" s="1"/>
  <c r="I9" i="4" s="1"/>
  <c r="J9" i="4" s="1"/>
  <c r="I10" i="4" s="1"/>
  <c r="J10" i="4" s="1"/>
  <c r="C4" i="3"/>
  <c r="D4" i="3"/>
  <c r="E4" i="3"/>
  <c r="F4" i="3"/>
  <c r="G4" i="3"/>
  <c r="B4" i="3"/>
  <c r="I5" i="2"/>
  <c r="B7" i="2"/>
  <c r="B5" i="2"/>
  <c r="B4" i="2"/>
  <c r="C8" i="1"/>
  <c r="D8" i="1"/>
  <c r="E8" i="1"/>
  <c r="F8" i="1"/>
  <c r="B8" i="1"/>
  <c r="K5" i="4" l="1" a="1"/>
  <c r="K5" i="4" s="1"/>
  <c r="B9" i="2"/>
  <c r="B10" i="2" s="1"/>
  <c r="J4" i="2" s="1"/>
  <c r="J5" i="2" s="1"/>
  <c r="I6" i="2" s="1"/>
  <c r="J6" i="2" s="1"/>
  <c r="I7" i="2" s="1"/>
  <c r="J7" i="2" s="1"/>
  <c r="I8" i="2" s="1"/>
  <c r="J8" i="2" s="1"/>
  <c r="I9" i="2" s="1"/>
  <c r="J9" i="2" s="1"/>
  <c r="I10" i="2" s="1"/>
  <c r="J10" i="2" s="1"/>
  <c r="K6" i="4" l="1"/>
  <c r="K10" i="4"/>
  <c r="K7" i="4"/>
  <c r="K9" i="4"/>
  <c r="K8" i="4"/>
  <c r="K4" i="2" a="1"/>
  <c r="K4" i="2" l="1"/>
  <c r="K7" i="2"/>
  <c r="K9" i="2"/>
  <c r="K8" i="2"/>
  <c r="K6" i="2"/>
  <c r="K10" i="2"/>
  <c r="K5" i="2"/>
</calcChain>
</file>

<file path=xl/sharedStrings.xml><?xml version="1.0" encoding="utf-8"?>
<sst xmlns="http://schemas.openxmlformats.org/spreadsheetml/2006/main" count="24" uniqueCount="13">
  <si>
    <r>
      <t>x</t>
    </r>
    <r>
      <rPr>
        <vertAlign val="subscript"/>
        <sz val="11"/>
        <color theme="1"/>
        <rFont val="Calibri"/>
        <family val="2"/>
        <scheme val="minor"/>
      </rPr>
      <t>i</t>
    </r>
  </si>
  <si>
    <r>
      <t>m</t>
    </r>
    <r>
      <rPr>
        <vertAlign val="subscript"/>
        <sz val="11"/>
        <color theme="1"/>
        <rFont val="Calibri"/>
        <family val="2"/>
        <scheme val="minor"/>
      </rPr>
      <t>i</t>
    </r>
  </si>
  <si>
    <t xml:space="preserve">
11</t>
  </si>
  <si>
    <t>7
14</t>
  </si>
  <si>
    <t>МАКС</t>
  </si>
  <si>
    <t>МИН</t>
  </si>
  <si>
    <t xml:space="preserve">n </t>
  </si>
  <si>
    <t>k</t>
  </si>
  <si>
    <t xml:space="preserve">k </t>
  </si>
  <si>
    <t>Размах значений</t>
  </si>
  <si>
    <t>Длина интервала</t>
  </si>
  <si>
    <t>Интервалы</t>
  </si>
  <si>
    <t>Частота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</si>
</sst>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vertAlign val="subscript"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/>
    </xf>
    <xf numFmtId="0" fontId="3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'Задание 1'!$A$8</c:f>
              <c:strCache>
                <c:ptCount val="1"/>
                <c:pt idx="0">
                  <c:v>mi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'Задание 1'!$B$7:$F$7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'Задание 1'!$B$8:$F$8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A-42AD-98BE-3A0C1BCB8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120080"/>
        <c:axId val="809120496"/>
      </c:barChart>
      <c:catAx>
        <c:axId val="809120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Значения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9120496"/>
        <c:crosses val="autoZero"/>
        <c:auto val="1"/>
        <c:lblAlgn val="ctr"/>
        <c:lblOffset val="100"/>
        <c:noMultiLvlLbl val="0"/>
      </c:catAx>
      <c:valAx>
        <c:axId val="80912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Частоты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912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1'!$A$8</c:f>
              <c:strCache>
                <c:ptCount val="1"/>
                <c:pt idx="0">
                  <c:v>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'Задание 1'!$B$7:$F$7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'Задание 1'!$B$8:$F$8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C-476C-85C2-FFE81BD34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2504432"/>
        <c:axId val="752504848"/>
      </c:lineChart>
      <c:catAx>
        <c:axId val="752504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Значения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2504848"/>
        <c:crosses val="autoZero"/>
        <c:auto val="1"/>
        <c:lblAlgn val="ctr"/>
        <c:lblOffset val="100"/>
        <c:noMultiLvlLbl val="0"/>
      </c:catAx>
      <c:valAx>
        <c:axId val="75250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Частоты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250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2'!$J$4:$J$10</c:f>
              <c:numCache>
                <c:formatCode>General</c:formatCode>
                <c:ptCount val="7"/>
                <c:pt idx="0">
                  <c:v>5.5714285714285712</c:v>
                </c:pt>
                <c:pt idx="1">
                  <c:v>7.1428571428571423</c:v>
                </c:pt>
                <c:pt idx="2">
                  <c:v>8.7142857142857135</c:v>
                </c:pt>
                <c:pt idx="3">
                  <c:v>10.285714285714285</c:v>
                </c:pt>
                <c:pt idx="4">
                  <c:v>11.857142857142856</c:v>
                </c:pt>
                <c:pt idx="5">
                  <c:v>13.428571428571427</c:v>
                </c:pt>
                <c:pt idx="6">
                  <c:v>15.000099999999998</c:v>
                </c:pt>
              </c:numCache>
            </c:numRef>
          </c:xVal>
          <c:yVal>
            <c:numRef>
              <c:f>'Задание 2'!$K$4:$K$10</c:f>
              <c:numCache>
                <c:formatCode>General</c:formatCode>
                <c:ptCount val="7"/>
                <c:pt idx="0">
                  <c:v>5</c:v>
                </c:pt>
                <c:pt idx="1">
                  <c:v>16</c:v>
                </c:pt>
                <c:pt idx="2">
                  <c:v>9</c:v>
                </c:pt>
                <c:pt idx="3">
                  <c:v>15</c:v>
                </c:pt>
                <c:pt idx="4">
                  <c:v>6</c:v>
                </c:pt>
                <c:pt idx="5">
                  <c:v>4</c:v>
                </c:pt>
                <c:pt idx="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70-4FFC-8539-CC27978CB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405920"/>
        <c:axId val="764407168"/>
      </c:scatterChart>
      <c:valAx>
        <c:axId val="76440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Интервал</a:t>
                </a:r>
              </a:p>
            </c:rich>
          </c:tx>
          <c:layout>
            <c:manualLayout>
              <c:xMode val="edge"/>
              <c:yMode val="edge"/>
              <c:x val="0.45262379702537181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4407168"/>
        <c:crosses val="autoZero"/>
        <c:crossBetween val="midCat"/>
      </c:valAx>
      <c:valAx>
        <c:axId val="76440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440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'Задание 3'!$A$4</c:f>
              <c:strCache>
                <c:ptCount val="1"/>
                <c:pt idx="0">
                  <c:v>mi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'Задание 3'!$B$3:$G$3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'Задание 3'!$B$4:$G$4</c:f>
              <c:numCache>
                <c:formatCode>General</c:formatCode>
                <c:ptCount val="6"/>
                <c:pt idx="0">
                  <c:v>8</c:v>
                </c:pt>
                <c:pt idx="1">
                  <c:v>8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3-4DFA-A7F9-93B797400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879360"/>
        <c:axId val="809880608"/>
      </c:barChart>
      <c:catAx>
        <c:axId val="809879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Значения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9880608"/>
        <c:crosses val="autoZero"/>
        <c:auto val="1"/>
        <c:lblAlgn val="ctr"/>
        <c:lblOffset val="100"/>
        <c:noMultiLvlLbl val="0"/>
      </c:catAx>
      <c:valAx>
        <c:axId val="80988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987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3'!$A$4</c:f>
              <c:strCache>
                <c:ptCount val="1"/>
                <c:pt idx="0">
                  <c:v>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'Задание 3'!$B$3:$G$3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'Задание 3'!$B$4:$G$4</c:f>
              <c:numCache>
                <c:formatCode>General</c:formatCode>
                <c:ptCount val="6"/>
                <c:pt idx="0">
                  <c:v>8</c:v>
                </c:pt>
                <c:pt idx="1">
                  <c:v>8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64-4791-B319-D02F6026D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3163936"/>
        <c:axId val="1053164352"/>
      </c:lineChart>
      <c:catAx>
        <c:axId val="1053163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Значения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3164352"/>
        <c:crosses val="autoZero"/>
        <c:auto val="1"/>
        <c:lblAlgn val="ctr"/>
        <c:lblOffset val="100"/>
        <c:noMultiLvlLbl val="0"/>
      </c:catAx>
      <c:valAx>
        <c:axId val="105316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316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4'!$J$5:$J$10</c:f>
              <c:numCache>
                <c:formatCode>General</c:formatCode>
                <c:ptCount val="6"/>
                <c:pt idx="0">
                  <c:v>10</c:v>
                </c:pt>
                <c:pt idx="1">
                  <c:v>19</c:v>
                </c:pt>
                <c:pt idx="2">
                  <c:v>28</c:v>
                </c:pt>
                <c:pt idx="3">
                  <c:v>37</c:v>
                </c:pt>
                <c:pt idx="4">
                  <c:v>46</c:v>
                </c:pt>
                <c:pt idx="5">
                  <c:v>55</c:v>
                </c:pt>
              </c:numCache>
            </c:numRef>
          </c:xVal>
          <c:yVal>
            <c:numRef>
              <c:f>'Задание 4'!$K$5:$K$10</c:f>
              <c:numCache>
                <c:formatCode>General</c:formatCode>
                <c:ptCount val="6"/>
                <c:pt idx="0">
                  <c:v>15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12-4079-BF0D-51D2841F3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846768"/>
        <c:axId val="809843856"/>
      </c:scatterChart>
      <c:valAx>
        <c:axId val="80984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Интервал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9843856"/>
        <c:crosses val="autoZero"/>
        <c:crossBetween val="midCat"/>
      </c:valAx>
      <c:valAx>
        <c:axId val="80984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Частота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984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1</xdr:row>
      <xdr:rowOff>95250</xdr:rowOff>
    </xdr:from>
    <xdr:to>
      <xdr:col>14</xdr:col>
      <xdr:colOff>571500</xdr:colOff>
      <xdr:row>15</xdr:row>
      <xdr:rowOff>95250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133350</xdr:colOff>
      <xdr:row>1</xdr:row>
      <xdr:rowOff>104775</xdr:rowOff>
    </xdr:from>
    <xdr:to>
      <xdr:col>22</xdr:col>
      <xdr:colOff>438150</xdr:colOff>
      <xdr:row>15</xdr:row>
      <xdr:rowOff>104775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600075</xdr:colOff>
      <xdr:row>1</xdr:row>
      <xdr:rowOff>161925</xdr:rowOff>
    </xdr:from>
    <xdr:to>
      <xdr:col>19</xdr:col>
      <xdr:colOff>295275</xdr:colOff>
      <xdr:row>16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171450</xdr:rowOff>
    </xdr:from>
    <xdr:to>
      <xdr:col>15</xdr:col>
      <xdr:colOff>304800</xdr:colOff>
      <xdr:row>15</xdr:row>
      <xdr:rowOff>171450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9525</xdr:colOff>
      <xdr:row>1</xdr:row>
      <xdr:rowOff>171450</xdr:rowOff>
    </xdr:from>
    <xdr:to>
      <xdr:col>23</xdr:col>
      <xdr:colOff>314325</xdr:colOff>
      <xdr:row>15</xdr:row>
      <xdr:rowOff>171450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</xdr:colOff>
      <xdr:row>3</xdr:row>
      <xdr:rowOff>0</xdr:rowOff>
    </xdr:from>
    <xdr:to>
      <xdr:col>19</xdr:col>
      <xdr:colOff>314325</xdr:colOff>
      <xdr:row>17</xdr:row>
      <xdr:rowOff>76200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workbookViewId="0">
      <selection activeCell="A8" sqref="A8"/>
    </sheetView>
  </sheetViews>
  <sheetFormatPr defaultRowHeight="15" x14ac:dyDescent="0.25"/>
  <sheetData>
    <row r="1" spans="1:24" x14ac:dyDescent="0.25">
      <c r="A1" s="3">
        <v>4</v>
      </c>
      <c r="B1" s="2">
        <v>0</v>
      </c>
      <c r="C1" s="2">
        <v>3</v>
      </c>
      <c r="D1" s="2">
        <v>4</v>
      </c>
      <c r="E1" s="2">
        <v>1</v>
      </c>
      <c r="F1" s="2">
        <v>0</v>
      </c>
      <c r="G1" s="2">
        <v>3</v>
      </c>
      <c r="H1" s="2">
        <v>1</v>
      </c>
      <c r="I1" s="2">
        <v>0</v>
      </c>
      <c r="J1" s="2">
        <v>4</v>
      </c>
      <c r="K1" s="2">
        <v>0</v>
      </c>
      <c r="L1" s="2">
        <v>0</v>
      </c>
      <c r="M1" s="2">
        <v>3</v>
      </c>
      <c r="N1" s="2">
        <v>1</v>
      </c>
      <c r="O1" s="2">
        <v>0</v>
      </c>
      <c r="P1" s="2">
        <v>1</v>
      </c>
      <c r="Q1" s="2">
        <v>1</v>
      </c>
      <c r="R1" s="2">
        <v>3</v>
      </c>
      <c r="S1" s="2">
        <v>2</v>
      </c>
      <c r="T1" s="2">
        <v>3</v>
      </c>
      <c r="U1" s="2">
        <v>1</v>
      </c>
      <c r="V1" s="2">
        <v>2</v>
      </c>
      <c r="W1" s="2">
        <v>1</v>
      </c>
      <c r="X1" s="2">
        <v>2</v>
      </c>
    </row>
    <row r="7" spans="1:24" ht="18" x14ac:dyDescent="0.35">
      <c r="A7" s="1" t="s">
        <v>0</v>
      </c>
      <c r="B7" s="2">
        <v>0</v>
      </c>
      <c r="C7" s="2">
        <v>1</v>
      </c>
      <c r="D7" s="2">
        <v>2</v>
      </c>
      <c r="E7" s="2">
        <v>3</v>
      </c>
      <c r="F7" s="2">
        <v>4</v>
      </c>
    </row>
    <row r="8" spans="1:24" ht="18" x14ac:dyDescent="0.35">
      <c r="A8" s="1" t="s">
        <v>1</v>
      </c>
      <c r="B8" s="2">
        <f>COUNTIF($A$1:$X$1,B7)</f>
        <v>6</v>
      </c>
      <c r="C8" s="2">
        <f t="shared" ref="C8:F8" si="0">COUNTIF($A$1:$X$1,C7)</f>
        <v>7</v>
      </c>
      <c r="D8" s="2">
        <f t="shared" si="0"/>
        <v>3</v>
      </c>
      <c r="E8" s="2">
        <f t="shared" si="0"/>
        <v>5</v>
      </c>
      <c r="F8" s="2">
        <f t="shared" si="0"/>
        <v>3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0"/>
  <sheetViews>
    <sheetView zoomScale="115" zoomScaleNormal="115" workbookViewId="0">
      <selection activeCell="I3" sqref="I3:K10"/>
    </sheetView>
  </sheetViews>
  <sheetFormatPr defaultRowHeight="15" x14ac:dyDescent="0.25"/>
  <cols>
    <col min="1" max="1" width="16.28515625" customWidth="1"/>
  </cols>
  <sheetData>
    <row r="1" spans="1:59" s="2" customFormat="1" ht="15" customHeight="1" x14ac:dyDescent="0.25">
      <c r="A1" s="4">
        <v>12</v>
      </c>
      <c r="B1" s="2">
        <v>6</v>
      </c>
      <c r="C1" s="2">
        <v>8</v>
      </c>
      <c r="D1" s="2">
        <v>6</v>
      </c>
      <c r="E1" s="2">
        <v>10</v>
      </c>
      <c r="F1" s="2">
        <v>11</v>
      </c>
      <c r="G1" s="2">
        <v>7</v>
      </c>
      <c r="H1" s="2">
        <v>10</v>
      </c>
      <c r="I1" s="2">
        <v>12</v>
      </c>
      <c r="J1" s="2">
        <v>8</v>
      </c>
      <c r="K1" s="2">
        <v>7</v>
      </c>
      <c r="L1" s="2">
        <v>7</v>
      </c>
      <c r="M1" s="2">
        <v>6</v>
      </c>
      <c r="N1" s="2">
        <v>7</v>
      </c>
      <c r="O1" s="2">
        <v>8</v>
      </c>
      <c r="P1" s="2">
        <v>6</v>
      </c>
      <c r="Q1" s="2">
        <v>11</v>
      </c>
      <c r="R1" s="2">
        <v>9</v>
      </c>
      <c r="S1" s="4" t="s">
        <v>2</v>
      </c>
      <c r="T1" s="2">
        <v>9</v>
      </c>
      <c r="U1" s="2">
        <v>10</v>
      </c>
      <c r="V1" s="2">
        <v>11</v>
      </c>
      <c r="W1" s="2">
        <v>9</v>
      </c>
      <c r="X1" s="2">
        <v>10</v>
      </c>
      <c r="Y1" s="2">
        <v>7</v>
      </c>
      <c r="Z1" s="2">
        <v>8</v>
      </c>
      <c r="AA1" s="2">
        <v>8</v>
      </c>
      <c r="AB1" s="2">
        <v>8</v>
      </c>
      <c r="AC1" s="2">
        <v>11</v>
      </c>
      <c r="AD1" s="2">
        <v>9</v>
      </c>
      <c r="AE1" s="2">
        <v>8</v>
      </c>
      <c r="AF1" s="2">
        <v>7</v>
      </c>
      <c r="AG1" s="2">
        <v>5</v>
      </c>
      <c r="AH1" s="2">
        <v>9</v>
      </c>
      <c r="AI1" s="2">
        <v>7</v>
      </c>
      <c r="AJ1" s="4" t="s">
        <v>3</v>
      </c>
      <c r="AK1" s="2">
        <v>11</v>
      </c>
      <c r="AL1" s="2">
        <v>9</v>
      </c>
      <c r="AM1" s="2">
        <v>8</v>
      </c>
      <c r="AN1" s="2">
        <v>7</v>
      </c>
      <c r="AO1" s="2">
        <v>4</v>
      </c>
      <c r="AP1" s="2">
        <v>7</v>
      </c>
      <c r="AQ1" s="2">
        <v>5</v>
      </c>
      <c r="AR1" s="2">
        <v>5</v>
      </c>
      <c r="AS1" s="2">
        <v>10</v>
      </c>
      <c r="AT1" s="2">
        <v>7</v>
      </c>
      <c r="AU1" s="2">
        <v>7</v>
      </c>
      <c r="AV1" s="2">
        <v>5</v>
      </c>
      <c r="AW1" s="2">
        <v>8</v>
      </c>
      <c r="AX1" s="2">
        <v>10</v>
      </c>
      <c r="AY1" s="2">
        <v>10</v>
      </c>
      <c r="AZ1" s="2">
        <v>15</v>
      </c>
      <c r="BA1" s="2">
        <v>10</v>
      </c>
      <c r="BB1" s="2">
        <v>10</v>
      </c>
      <c r="BC1" s="2">
        <v>13</v>
      </c>
      <c r="BD1" s="2">
        <v>12</v>
      </c>
      <c r="BE1" s="2">
        <v>11</v>
      </c>
      <c r="BF1" s="2">
        <v>15</v>
      </c>
      <c r="BG1" s="2">
        <v>6</v>
      </c>
    </row>
    <row r="3" spans="1:59" x14ac:dyDescent="0.25">
      <c r="I3" s="5" t="s">
        <v>11</v>
      </c>
      <c r="J3" s="5"/>
      <c r="K3" s="1" t="s">
        <v>12</v>
      </c>
    </row>
    <row r="4" spans="1:59" x14ac:dyDescent="0.25">
      <c r="A4" s="1" t="s">
        <v>4</v>
      </c>
      <c r="B4" s="2">
        <f>MAX(1:1)</f>
        <v>15</v>
      </c>
      <c r="I4" s="2">
        <v>4</v>
      </c>
      <c r="J4" s="2">
        <f>I4+$B$10</f>
        <v>5.5714285714285712</v>
      </c>
      <c r="K4" s="2">
        <f t="array" ref="K4:K10">FREQUENCY(1:1,J4:J10)</f>
        <v>5</v>
      </c>
    </row>
    <row r="5" spans="1:59" x14ac:dyDescent="0.25">
      <c r="A5" s="1" t="s">
        <v>5</v>
      </c>
      <c r="B5" s="2">
        <f>MIN(1:1)</f>
        <v>4</v>
      </c>
      <c r="I5" s="2">
        <f>J4</f>
        <v>5.5714285714285712</v>
      </c>
      <c r="J5" s="2">
        <f>I5+$B$10</f>
        <v>7.1428571428571423</v>
      </c>
      <c r="K5" s="2">
        <v>16</v>
      </c>
    </row>
    <row r="6" spans="1:59" x14ac:dyDescent="0.25">
      <c r="A6" s="1" t="s">
        <v>6</v>
      </c>
      <c r="B6" s="2">
        <v>60</v>
      </c>
      <c r="I6" s="2">
        <f t="shared" ref="I6:I10" si="0">J5</f>
        <v>7.1428571428571423</v>
      </c>
      <c r="J6" s="2">
        <f t="shared" ref="J6:J9" si="1">I6+$B$10</f>
        <v>8.7142857142857135</v>
      </c>
      <c r="K6" s="2">
        <v>9</v>
      </c>
    </row>
    <row r="7" spans="1:59" x14ac:dyDescent="0.25">
      <c r="A7" s="1" t="s">
        <v>7</v>
      </c>
      <c r="B7" s="2">
        <f>1+1.4*LN(B6)</f>
        <v>6.7320823871109399</v>
      </c>
      <c r="I7" s="2">
        <f t="shared" si="0"/>
        <v>8.7142857142857135</v>
      </c>
      <c r="J7" s="2">
        <f t="shared" si="1"/>
        <v>10.285714285714285</v>
      </c>
      <c r="K7" s="2">
        <v>15</v>
      </c>
    </row>
    <row r="8" spans="1:59" x14ac:dyDescent="0.25">
      <c r="A8" s="1" t="s">
        <v>8</v>
      </c>
      <c r="B8" s="2">
        <v>7</v>
      </c>
      <c r="I8" s="2">
        <f t="shared" si="0"/>
        <v>10.285714285714285</v>
      </c>
      <c r="J8" s="2">
        <f t="shared" si="1"/>
        <v>11.857142857142856</v>
      </c>
      <c r="K8" s="2">
        <v>6</v>
      </c>
    </row>
    <row r="9" spans="1:59" x14ac:dyDescent="0.25">
      <c r="A9" s="1" t="s">
        <v>9</v>
      </c>
      <c r="B9" s="2">
        <f>B4-B5</f>
        <v>11</v>
      </c>
      <c r="I9" s="2">
        <f t="shared" si="0"/>
        <v>11.857142857142856</v>
      </c>
      <c r="J9" s="2">
        <f t="shared" si="1"/>
        <v>13.428571428571427</v>
      </c>
      <c r="K9" s="2">
        <v>4</v>
      </c>
    </row>
    <row r="10" spans="1:59" x14ac:dyDescent="0.25">
      <c r="A10" s="1" t="s">
        <v>10</v>
      </c>
      <c r="B10" s="2">
        <f>B9/B8</f>
        <v>1.5714285714285714</v>
      </c>
      <c r="I10" s="2">
        <f t="shared" si="0"/>
        <v>13.428571428571427</v>
      </c>
      <c r="J10" s="2">
        <f>I10+$B$10+0.0001</f>
        <v>15.000099999999998</v>
      </c>
      <c r="K10" s="2">
        <v>2</v>
      </c>
    </row>
  </sheetData>
  <mergeCells count="1">
    <mergeCell ref="I3:J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workbookViewId="0">
      <selection activeCell="M28" sqref="M28"/>
    </sheetView>
  </sheetViews>
  <sheetFormatPr defaultRowHeight="15" x14ac:dyDescent="0.25"/>
  <sheetData>
    <row r="1" spans="1:30" s="2" customFormat="1" x14ac:dyDescent="0.25">
      <c r="A1" s="6">
        <v>0</v>
      </c>
      <c r="B1" s="2">
        <v>1</v>
      </c>
      <c r="C1" s="2">
        <v>0</v>
      </c>
      <c r="D1" s="2">
        <v>2</v>
      </c>
      <c r="E1" s="2">
        <v>3</v>
      </c>
      <c r="F1" s="2">
        <v>1</v>
      </c>
      <c r="G1" s="2">
        <v>2</v>
      </c>
      <c r="H1" s="2">
        <v>0</v>
      </c>
      <c r="I1" s="2">
        <v>3</v>
      </c>
      <c r="J1" s="2">
        <v>1</v>
      </c>
      <c r="K1" s="2">
        <v>4</v>
      </c>
      <c r="L1" s="2">
        <v>1</v>
      </c>
      <c r="M1" s="2">
        <v>0</v>
      </c>
      <c r="N1" s="2">
        <v>2</v>
      </c>
      <c r="O1" s="2">
        <v>5</v>
      </c>
      <c r="P1" s="2">
        <v>1</v>
      </c>
      <c r="Q1" s="2">
        <v>0</v>
      </c>
      <c r="R1" s="2">
        <v>2</v>
      </c>
      <c r="S1" s="2">
        <v>1</v>
      </c>
      <c r="T1" s="2">
        <v>3</v>
      </c>
      <c r="U1" s="2">
        <v>4</v>
      </c>
      <c r="V1" s="2">
        <v>5</v>
      </c>
      <c r="W1" s="2">
        <v>1</v>
      </c>
      <c r="X1" s="2">
        <v>1</v>
      </c>
      <c r="Y1" s="2">
        <v>0</v>
      </c>
      <c r="Z1" s="2">
        <v>2</v>
      </c>
      <c r="AA1" s="2">
        <v>0</v>
      </c>
      <c r="AB1" s="2">
        <v>3</v>
      </c>
      <c r="AC1" s="2">
        <v>0</v>
      </c>
      <c r="AD1" s="2">
        <v>4</v>
      </c>
    </row>
    <row r="3" spans="1:30" ht="18" x14ac:dyDescent="0.35">
      <c r="A3" s="1" t="s">
        <v>0</v>
      </c>
      <c r="B3" s="2">
        <v>0</v>
      </c>
      <c r="C3" s="2">
        <v>1</v>
      </c>
      <c r="D3" s="2">
        <v>2</v>
      </c>
      <c r="E3" s="2">
        <v>3</v>
      </c>
      <c r="F3" s="2">
        <v>4</v>
      </c>
      <c r="G3" s="2">
        <v>5</v>
      </c>
    </row>
    <row r="4" spans="1:30" ht="18" x14ac:dyDescent="0.35">
      <c r="A4" s="1" t="s">
        <v>1</v>
      </c>
      <c r="B4" s="2">
        <f>COUNTIF(1:1,B3)</f>
        <v>8</v>
      </c>
      <c r="C4" s="2">
        <f t="shared" ref="C4:G4" si="0">COUNTIF(1:1,C3)</f>
        <v>8</v>
      </c>
      <c r="D4" s="2">
        <f t="shared" si="0"/>
        <v>5</v>
      </c>
      <c r="E4" s="2">
        <f t="shared" si="0"/>
        <v>4</v>
      </c>
      <c r="F4" s="2">
        <f t="shared" si="0"/>
        <v>3</v>
      </c>
      <c r="G4" s="2">
        <f t="shared" si="0"/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"/>
  <sheetViews>
    <sheetView tabSelected="1" workbookViewId="0">
      <selection activeCell="H13" sqref="H13"/>
    </sheetView>
  </sheetViews>
  <sheetFormatPr defaultRowHeight="15" x14ac:dyDescent="0.25"/>
  <cols>
    <col min="1" max="1" width="17.42578125" customWidth="1"/>
  </cols>
  <sheetData>
    <row r="1" spans="1:35" s="2" customFormat="1" x14ac:dyDescent="0.25">
      <c r="A1" s="2">
        <v>1</v>
      </c>
      <c r="B1" s="2">
        <v>5</v>
      </c>
      <c r="C1" s="2">
        <v>2</v>
      </c>
      <c r="D1" s="2">
        <v>5</v>
      </c>
      <c r="E1" s="2">
        <v>1</v>
      </c>
      <c r="F1" s="2">
        <v>3</v>
      </c>
      <c r="G1" s="2">
        <v>5</v>
      </c>
      <c r="H1" s="2">
        <v>10</v>
      </c>
      <c r="I1" s="2">
        <v>20</v>
      </c>
      <c r="J1" s="2">
        <v>3</v>
      </c>
      <c r="K1" s="2">
        <v>5</v>
      </c>
      <c r="L1" s="2">
        <v>5</v>
      </c>
      <c r="M1" s="2">
        <v>3</v>
      </c>
      <c r="N1" s="2">
        <v>55</v>
      </c>
      <c r="O1" s="2">
        <v>12</v>
      </c>
      <c r="P1" s="2">
        <v>23</v>
      </c>
      <c r="Q1" s="2">
        <v>5</v>
      </c>
      <c r="R1" s="2">
        <v>42</v>
      </c>
      <c r="S1" s="2">
        <v>2</v>
      </c>
      <c r="T1" s="2">
        <v>12</v>
      </c>
      <c r="U1" s="2">
        <v>44</v>
      </c>
      <c r="V1" s="2">
        <v>23</v>
      </c>
      <c r="W1" s="2">
        <v>43</v>
      </c>
      <c r="X1" s="2">
        <v>33</v>
      </c>
      <c r="Y1" s="2">
        <v>6</v>
      </c>
      <c r="Z1" s="2">
        <v>19</v>
      </c>
      <c r="AA1" s="2">
        <v>23</v>
      </c>
      <c r="AB1" s="2">
        <v>29</v>
      </c>
      <c r="AC1" s="2">
        <v>26</v>
      </c>
      <c r="AD1" s="2">
        <v>36</v>
      </c>
      <c r="AE1" s="2">
        <v>48</v>
      </c>
      <c r="AF1" s="2">
        <v>39</v>
      </c>
      <c r="AG1" s="2">
        <v>40</v>
      </c>
      <c r="AH1" s="2">
        <v>21</v>
      </c>
      <c r="AI1" s="2">
        <v>50</v>
      </c>
    </row>
    <row r="4" spans="1:35" x14ac:dyDescent="0.25">
      <c r="A4" s="1" t="s">
        <v>4</v>
      </c>
      <c r="B4" s="2">
        <f>MAX(1:1)</f>
        <v>55</v>
      </c>
      <c r="I4" s="5" t="s">
        <v>11</v>
      </c>
      <c r="J4" s="5"/>
      <c r="K4" s="1" t="s">
        <v>12</v>
      </c>
    </row>
    <row r="5" spans="1:35" x14ac:dyDescent="0.25">
      <c r="A5" s="1" t="s">
        <v>5</v>
      </c>
      <c r="B5" s="2">
        <f>MIN(1:1)</f>
        <v>1</v>
      </c>
      <c r="I5" s="2">
        <v>1</v>
      </c>
      <c r="J5" s="2">
        <f>I5+$B$10</f>
        <v>10</v>
      </c>
      <c r="K5" s="2">
        <f t="array" ref="K5:K10">FREQUENCY(1:1,J5:J10)</f>
        <v>15</v>
      </c>
    </row>
    <row r="6" spans="1:35" x14ac:dyDescent="0.25">
      <c r="A6" s="1" t="s">
        <v>6</v>
      </c>
      <c r="B6" s="2">
        <v>35</v>
      </c>
      <c r="I6" s="2">
        <f>J5</f>
        <v>10</v>
      </c>
      <c r="J6" s="2">
        <f>I6+$B$10</f>
        <v>19</v>
      </c>
      <c r="K6" s="2">
        <v>3</v>
      </c>
    </row>
    <row r="7" spans="1:35" x14ac:dyDescent="0.25">
      <c r="A7" s="1" t="s">
        <v>7</v>
      </c>
      <c r="B7" s="2">
        <f>1+1.4*LN(B6)</f>
        <v>5.9774872860851787</v>
      </c>
      <c r="I7" s="2">
        <f t="shared" ref="I7:I10" si="0">J6</f>
        <v>19</v>
      </c>
      <c r="J7" s="2">
        <f t="shared" ref="J7:J10" si="1">I7+$B$10</f>
        <v>28</v>
      </c>
      <c r="K7" s="2">
        <v>6</v>
      </c>
    </row>
    <row r="8" spans="1:35" x14ac:dyDescent="0.25">
      <c r="A8" s="1" t="s">
        <v>8</v>
      </c>
      <c r="B8" s="2">
        <v>6</v>
      </c>
      <c r="I8" s="2">
        <f t="shared" si="0"/>
        <v>28</v>
      </c>
      <c r="J8" s="2">
        <f t="shared" si="1"/>
        <v>37</v>
      </c>
      <c r="K8" s="2">
        <v>3</v>
      </c>
    </row>
    <row r="9" spans="1:35" x14ac:dyDescent="0.25">
      <c r="A9" s="1" t="s">
        <v>9</v>
      </c>
      <c r="B9" s="2">
        <f>B4-B5</f>
        <v>54</v>
      </c>
      <c r="I9" s="2">
        <f t="shared" si="0"/>
        <v>37</v>
      </c>
      <c r="J9" s="2">
        <f t="shared" si="1"/>
        <v>46</v>
      </c>
      <c r="K9" s="2">
        <v>5</v>
      </c>
    </row>
    <row r="10" spans="1:35" x14ac:dyDescent="0.25">
      <c r="A10" s="1" t="s">
        <v>10</v>
      </c>
      <c r="B10" s="2">
        <f>B9/B8</f>
        <v>9</v>
      </c>
      <c r="I10" s="2">
        <f t="shared" si="0"/>
        <v>46</v>
      </c>
      <c r="J10" s="2">
        <f t="shared" si="1"/>
        <v>55</v>
      </c>
      <c r="K10" s="2">
        <v>3</v>
      </c>
    </row>
  </sheetData>
  <mergeCells count="1">
    <mergeCell ref="I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</vt:lpstr>
      <vt:lpstr>Задание 2</vt:lpstr>
      <vt:lpstr>Задание 3</vt:lpstr>
      <vt:lpstr>Задание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2023-11-13T16:54:21Z</dcterms:modified>
</cp:coreProperties>
</file>