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1" l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31" i="1"/>
  <c r="L30" i="1"/>
  <c r="B30" i="1"/>
  <c r="B22" i="1" l="1"/>
  <c r="I30" i="1" s="1"/>
  <c r="C3" i="1" l="1"/>
  <c r="C4" i="1" l="1"/>
  <c r="B31" i="1"/>
  <c r="D20" i="1"/>
  <c r="C5" i="1" l="1"/>
  <c r="B32" i="1"/>
  <c r="E5" i="1"/>
  <c r="C6" i="1" l="1"/>
  <c r="B33" i="1"/>
  <c r="C7" i="1" l="1"/>
  <c r="B34" i="1"/>
  <c r="C8" i="1" l="1"/>
  <c r="B35" i="1"/>
  <c r="C9" i="1" l="1"/>
  <c r="B36" i="1"/>
  <c r="C10" i="1" l="1"/>
  <c r="B37" i="1"/>
  <c r="C11" i="1" l="1"/>
  <c r="B38" i="1"/>
  <c r="C12" i="1" l="1"/>
  <c r="B39" i="1"/>
  <c r="C13" i="1" l="1"/>
  <c r="B40" i="1"/>
  <c r="C14" i="1" l="1"/>
  <c r="B41" i="1"/>
  <c r="C15" i="1" l="1"/>
  <c r="B42" i="1"/>
  <c r="C16" i="1" l="1"/>
  <c r="B43" i="1"/>
  <c r="C17" i="1" l="1"/>
  <c r="B44" i="1"/>
  <c r="C18" i="1" l="1"/>
  <c r="B45" i="1"/>
  <c r="C19" i="1" l="1"/>
  <c r="B46" i="1"/>
  <c r="C20" i="1" l="1"/>
  <c r="B47" i="1"/>
  <c r="C21" i="1" l="1"/>
  <c r="B48" i="1"/>
  <c r="B49" i="1" l="1"/>
  <c r="C30" i="1" s="1"/>
  <c r="D49" i="1" s="1"/>
  <c r="E49" i="1" s="1"/>
  <c r="E9" i="1"/>
  <c r="E12" i="1"/>
  <c r="E8" i="1"/>
  <c r="E1" i="1"/>
  <c r="E13" i="1"/>
  <c r="E14" i="1" s="1"/>
  <c r="E16" i="1"/>
  <c r="E2" i="1"/>
  <c r="E6" i="1" s="1"/>
  <c r="E7" i="1" s="1"/>
  <c r="E20" i="1" s="1"/>
  <c r="D21" i="1" s="1"/>
  <c r="E21" i="1" s="1"/>
  <c r="D22" i="1" s="1"/>
  <c r="E22" i="1" s="1"/>
  <c r="D23" i="1" s="1"/>
  <c r="E23" i="1" s="1"/>
  <c r="D24" i="1" s="1"/>
  <c r="E24" i="1" s="1"/>
  <c r="F20" i="1" s="1" a="1"/>
  <c r="E11" i="1"/>
  <c r="E15" i="1"/>
  <c r="E10" i="1"/>
  <c r="F22" i="1" l="1"/>
  <c r="F21" i="1"/>
  <c r="I4" i="1" s="1"/>
  <c r="I5" i="1" s="1"/>
  <c r="F23" i="1"/>
  <c r="F24" i="1"/>
  <c r="F20" i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F30" i="1" l="1"/>
  <c r="I6" i="1"/>
  <c r="I7" i="1" s="1"/>
  <c r="G49" i="1" l="1"/>
  <c r="H49" i="1" s="1"/>
  <c r="K49" i="1" s="1"/>
  <c r="G31" i="1"/>
  <c r="H31" i="1" s="1"/>
  <c r="K31" i="1" s="1"/>
  <c r="G33" i="1"/>
  <c r="H33" i="1" s="1"/>
  <c r="K33" i="1" s="1"/>
  <c r="G35" i="1"/>
  <c r="H35" i="1" s="1"/>
  <c r="K35" i="1" s="1"/>
  <c r="G37" i="1"/>
  <c r="H37" i="1" s="1"/>
  <c r="K37" i="1" s="1"/>
  <c r="G39" i="1"/>
  <c r="H39" i="1" s="1"/>
  <c r="K39" i="1" s="1"/>
  <c r="G41" i="1"/>
  <c r="H41" i="1" s="1"/>
  <c r="K41" i="1" s="1"/>
  <c r="G43" i="1"/>
  <c r="H43" i="1" s="1"/>
  <c r="K43" i="1" s="1"/>
  <c r="G45" i="1"/>
  <c r="H45" i="1" s="1"/>
  <c r="K45" i="1" s="1"/>
  <c r="G47" i="1"/>
  <c r="H47" i="1" s="1"/>
  <c r="K47" i="1" s="1"/>
  <c r="G44" i="1"/>
  <c r="H44" i="1" s="1"/>
  <c r="K44" i="1" s="1"/>
  <c r="G34" i="1"/>
  <c r="H34" i="1" s="1"/>
  <c r="K34" i="1" s="1"/>
  <c r="G38" i="1"/>
  <c r="H38" i="1" s="1"/>
  <c r="K38" i="1" s="1"/>
  <c r="G40" i="1"/>
  <c r="H40" i="1" s="1"/>
  <c r="K40" i="1" s="1"/>
  <c r="G36" i="1"/>
  <c r="H36" i="1" s="1"/>
  <c r="K36" i="1" s="1"/>
  <c r="G30" i="1"/>
  <c r="H30" i="1" s="1"/>
  <c r="K30" i="1" s="1"/>
  <c r="G32" i="1"/>
  <c r="H32" i="1" s="1"/>
  <c r="K32" i="1" s="1"/>
  <c r="G42" i="1"/>
  <c r="H42" i="1" s="1"/>
  <c r="K42" i="1" s="1"/>
  <c r="G46" i="1"/>
  <c r="H46" i="1" s="1"/>
  <c r="K46" i="1" s="1"/>
  <c r="G48" i="1"/>
  <c r="H48" i="1" s="1"/>
  <c r="K48" i="1" s="1"/>
  <c r="M35" i="1" l="1"/>
  <c r="N35" i="1" s="1"/>
  <c r="M39" i="1"/>
  <c r="N39" i="1" s="1"/>
  <c r="M43" i="1"/>
  <c r="N43" i="1" s="1"/>
  <c r="M47" i="1"/>
  <c r="N47" i="1" s="1"/>
  <c r="M32" i="1"/>
  <c r="N32" i="1" s="1"/>
  <c r="M36" i="1"/>
  <c r="N36" i="1" s="1"/>
  <c r="M40" i="1"/>
  <c r="N40" i="1" s="1"/>
  <c r="M44" i="1"/>
  <c r="N44" i="1" s="1"/>
  <c r="M48" i="1"/>
  <c r="N48" i="1" s="1"/>
  <c r="M33" i="1"/>
  <c r="N33" i="1" s="1"/>
  <c r="M37" i="1"/>
  <c r="N37" i="1" s="1"/>
  <c r="M41" i="1"/>
  <c r="N41" i="1" s="1"/>
  <c r="M45" i="1"/>
  <c r="N45" i="1" s="1"/>
  <c r="M49" i="1"/>
  <c r="N49" i="1" s="1"/>
  <c r="M34" i="1"/>
  <c r="N34" i="1" s="1"/>
  <c r="M38" i="1"/>
  <c r="N38" i="1" s="1"/>
  <c r="M42" i="1"/>
  <c r="N42" i="1" s="1"/>
  <c r="M46" i="1"/>
  <c r="N46" i="1" s="1"/>
  <c r="M31" i="1"/>
  <c r="N31" i="1" s="1"/>
  <c r="M30" i="1"/>
  <c r="N30" i="1" s="1"/>
  <c r="O30" i="1" l="1"/>
  <c r="P30" i="1" s="1"/>
</calcChain>
</file>

<file path=xl/sharedStrings.xml><?xml version="1.0" encoding="utf-8"?>
<sst xmlns="http://schemas.openxmlformats.org/spreadsheetml/2006/main" count="66" uniqueCount="66">
  <si>
    <t>Кол-во</t>
  </si>
  <si>
    <t>Разница</t>
  </si>
  <si>
    <t>Макс</t>
  </si>
  <si>
    <t>Мин</t>
  </si>
  <si>
    <t>Кол-во интервалов</t>
  </si>
  <si>
    <t>Длина интервала</t>
  </si>
  <si>
    <t>Эксцесс</t>
  </si>
  <si>
    <t>Среднее линейное отклонение</t>
  </si>
  <si>
    <t>Дисперсия по ген. Совокупности</t>
  </si>
  <si>
    <t>Дисперсия по выборке</t>
  </si>
  <si>
    <t>СКО по ген. Совокупности</t>
  </si>
  <si>
    <t>СКО по выборке</t>
  </si>
  <si>
    <t xml:space="preserve">Коэффициент вариации </t>
  </si>
  <si>
    <t>Коэффициент осцилляции</t>
  </si>
  <si>
    <t>Интервалы</t>
  </si>
  <si>
    <t>Частота</t>
  </si>
  <si>
    <t xml:space="preserve">Численность </t>
  </si>
  <si>
    <t>Кумулятивная частота</t>
  </si>
  <si>
    <t>x</t>
  </si>
  <si>
    <t>y</t>
  </si>
  <si>
    <t>Среднее значение</t>
  </si>
  <si>
    <t>Количество автомобилей, Fi</t>
  </si>
  <si>
    <t>0-20</t>
  </si>
  <si>
    <t>20-40</t>
  </si>
  <si>
    <t>40-60</t>
  </si>
  <si>
    <t>60-80</t>
  </si>
  <si>
    <t>80-100</t>
  </si>
  <si>
    <t>100-120</t>
  </si>
  <si>
    <t>120-140</t>
  </si>
  <si>
    <t>140-160</t>
  </si>
  <si>
    <t>160-180</t>
  </si>
  <si>
    <t>180-200</t>
  </si>
  <si>
    <t>200-220</t>
  </si>
  <si>
    <t>220-240</t>
  </si>
  <si>
    <t>240-260</t>
  </si>
  <si>
    <t>260-280</t>
  </si>
  <si>
    <t>280-300</t>
  </si>
  <si>
    <t>300-320</t>
  </si>
  <si>
    <t>320-340</t>
  </si>
  <si>
    <t>340-360</t>
  </si>
  <si>
    <t>360-380</t>
  </si>
  <si>
    <t>380-400</t>
  </si>
  <si>
    <t>Середина интервала</t>
  </si>
  <si>
    <t>до 10</t>
  </si>
  <si>
    <t>10-88</t>
  </si>
  <si>
    <t>88-166</t>
  </si>
  <si>
    <t>166-244</t>
  </si>
  <si>
    <t>322-400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</si>
  <si>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*f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</si>
  <si>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-</t>
    </r>
  </si>
  <si>
    <r>
      <t>(x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  <charset val="204"/>
      </rPr>
      <t>-x</t>
    </r>
    <r>
      <rPr>
        <vertAlign val="superscript"/>
        <sz val="11"/>
        <color theme="1"/>
        <rFont val="Calibri"/>
        <family val="2"/>
        <charset val="204"/>
      </rPr>
      <t>-</t>
    </r>
    <r>
      <rPr>
        <sz val="11"/>
        <color theme="1"/>
        <rFont val="Calibri"/>
        <family val="2"/>
        <charset val="204"/>
      </rPr>
      <t>)</t>
    </r>
    <r>
      <rPr>
        <vertAlign val="superscript"/>
        <sz val="11"/>
        <color theme="1"/>
        <rFont val="Calibri"/>
        <family val="2"/>
        <charset val="204"/>
      </rPr>
      <t>2</t>
    </r>
  </si>
  <si>
    <r>
      <t>(x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  <charset val="204"/>
      </rPr>
      <t>-x</t>
    </r>
    <r>
      <rPr>
        <vertAlign val="superscript"/>
        <sz val="11"/>
        <color theme="1"/>
        <rFont val="Calibri"/>
        <family val="2"/>
        <charset val="204"/>
      </rPr>
      <t>-</t>
    </r>
    <r>
      <rPr>
        <sz val="11"/>
        <color theme="1"/>
        <rFont val="Calibri"/>
        <family val="2"/>
        <charset val="204"/>
      </rPr>
      <t>)</t>
    </r>
    <r>
      <rPr>
        <vertAlign val="superscript"/>
        <sz val="11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charset val="204"/>
      </rPr>
      <t>*f</t>
    </r>
    <r>
      <rPr>
        <vertAlign val="subscript"/>
        <sz val="11"/>
        <color theme="1"/>
        <rFont val="Calibri"/>
        <family val="2"/>
        <charset val="204"/>
      </rPr>
      <t>i</t>
    </r>
  </si>
  <si>
    <t>σ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</si>
  <si>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</si>
  <si>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rPr>
        <sz val="11"/>
        <color theme="1"/>
        <rFont val="Calibri"/>
        <family val="2"/>
        <charset val="204"/>
      </rPr>
      <t>ϕ</t>
    </r>
    <r>
      <rPr>
        <sz val="11"/>
        <color theme="1"/>
        <rFont val="Calibri"/>
        <family val="2"/>
      </rPr>
      <t>(t)</t>
    </r>
  </si>
  <si>
    <t>N</t>
  </si>
  <si>
    <t>d</t>
  </si>
  <si>
    <r>
      <t>f</t>
    </r>
    <r>
      <rPr>
        <vertAlign val="subscript"/>
        <sz val="11"/>
        <color theme="1"/>
        <rFont val="Calibri"/>
        <family val="2"/>
        <charset val="204"/>
      </rPr>
      <t>m</t>
    </r>
  </si>
  <si>
    <t>Fi</t>
  </si>
  <si>
    <t>Fm</t>
  </si>
  <si>
    <t>Di</t>
  </si>
  <si>
    <r>
      <t>D</t>
    </r>
    <r>
      <rPr>
        <vertAlign val="subscript"/>
        <sz val="11"/>
        <color theme="1"/>
        <rFont val="Calibri"/>
        <family val="2"/>
        <charset val="204"/>
      </rPr>
      <t>max</t>
    </r>
  </si>
  <si>
    <t>λ</t>
  </si>
  <si>
    <t>Итог</t>
  </si>
  <si>
    <t>Цена автомобиля, тыс. рублей</t>
  </si>
  <si>
    <t>Асимметрия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</si>
</sst>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"/>
    <numFmt numFmtId="166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12"/>
      <color rgb="FF202122"/>
      <name val="Times New Roman"/>
      <family val="1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" fontId="2" fillId="0" borderId="1" xfId="0" quotePrefix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Лист1!$I$2</c:f>
              <c:strCache>
                <c:ptCount val="1"/>
                <c:pt idx="0">
                  <c:v>Кумулятивная частота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Лист1!$H$3:$H$7</c:f>
              <c:strCache>
                <c:ptCount val="5"/>
                <c:pt idx="0">
                  <c:v>до 10</c:v>
                </c:pt>
                <c:pt idx="1">
                  <c:v>10-88</c:v>
                </c:pt>
                <c:pt idx="2">
                  <c:v>88-166</c:v>
                </c:pt>
                <c:pt idx="3">
                  <c:v>166-244</c:v>
                </c:pt>
                <c:pt idx="4">
                  <c:v>322-400</c:v>
                </c:pt>
              </c:strCache>
            </c:strRef>
          </c:cat>
          <c:val>
            <c:numRef>
              <c:f>Лист1!$I$3:$I$7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9-4422-AFB4-334CE653C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450688"/>
        <c:axId val="765454848"/>
      </c:lineChart>
      <c:catAx>
        <c:axId val="76545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Стоимость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54848"/>
        <c:crosses val="autoZero"/>
        <c:auto val="1"/>
        <c:lblAlgn val="ctr"/>
        <c:lblOffset val="100"/>
        <c:noMultiLvlLbl val="0"/>
      </c:catAx>
      <c:valAx>
        <c:axId val="76545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Лист1!$L$4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Лист1!$M$3:$AC$3</c:f>
              <c:numCache>
                <c:formatCode>General</c:formatCode>
                <c:ptCount val="17"/>
                <c:pt idx="0">
                  <c:v>10</c:v>
                </c:pt>
                <c:pt idx="1">
                  <c:v>10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166</c:v>
                </c:pt>
                <c:pt idx="6">
                  <c:v>166</c:v>
                </c:pt>
                <c:pt idx="7">
                  <c:v>166</c:v>
                </c:pt>
                <c:pt idx="8">
                  <c:v>244</c:v>
                </c:pt>
                <c:pt idx="9">
                  <c:v>244</c:v>
                </c:pt>
                <c:pt idx="10">
                  <c:v>244</c:v>
                </c:pt>
                <c:pt idx="11">
                  <c:v>322</c:v>
                </c:pt>
                <c:pt idx="12">
                  <c:v>322</c:v>
                </c:pt>
                <c:pt idx="13">
                  <c:v>322</c:v>
                </c:pt>
                <c:pt idx="14">
                  <c:v>400</c:v>
                </c:pt>
                <c:pt idx="15">
                  <c:v>400</c:v>
                </c:pt>
              </c:numCache>
            </c:numRef>
          </c:xVal>
          <c:yVal>
            <c:numRef>
              <c:f>Лист1!$M$4:$AC$4</c:f>
              <c:numCache>
                <c:formatCode>General</c:formatCode>
                <c:ptCount val="17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12</c:v>
                </c:pt>
                <c:pt idx="8">
                  <c:v>12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F-4DA6-9C70-96E5864D9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39696"/>
        <c:axId val="740146352"/>
      </c:scatterChart>
      <c:valAx>
        <c:axId val="74013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Стоимость</a:t>
                </a:r>
                <a:r>
                  <a:rPr lang="ru-RU" baseline="0"/>
                  <a:t> 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0146352"/>
        <c:crosses val="autoZero"/>
        <c:crossBetween val="midCat"/>
      </c:valAx>
      <c:valAx>
        <c:axId val="7401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013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10</xdr:col>
      <xdr:colOff>542925</xdr:colOff>
      <xdr:row>21</xdr:row>
      <xdr:rowOff>142875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6</xdr:row>
      <xdr:rowOff>9525</xdr:rowOff>
    </xdr:from>
    <xdr:to>
      <xdr:col>19</xdr:col>
      <xdr:colOff>771525</xdr:colOff>
      <xdr:row>19</xdr:row>
      <xdr:rowOff>152400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3"/>
  <sheetViews>
    <sheetView tabSelected="1" topLeftCell="A25" zoomScale="85" zoomScaleNormal="85" workbookViewId="0">
      <selection activeCell="D20" sqref="D20"/>
    </sheetView>
  </sheetViews>
  <sheetFormatPr defaultRowHeight="15.75" x14ac:dyDescent="0.25"/>
  <cols>
    <col min="1" max="1" width="33.42578125" style="5" customWidth="1"/>
    <col min="2" max="2" width="29" style="5" customWidth="1"/>
    <col min="3" max="3" width="23.7109375" style="5" customWidth="1"/>
    <col min="4" max="4" width="32.85546875" style="5" customWidth="1"/>
    <col min="5" max="5" width="33.7109375" style="5" customWidth="1"/>
    <col min="6" max="6" width="12.42578125" style="5" customWidth="1"/>
    <col min="7" max="7" width="13.140625" style="5" customWidth="1"/>
    <col min="8" max="8" width="26.85546875" style="5" customWidth="1"/>
    <col min="9" max="9" width="24.42578125" style="5" customWidth="1"/>
    <col min="10" max="12" width="9.140625" style="5"/>
    <col min="13" max="13" width="11.28515625" style="5" bestFit="1" customWidth="1"/>
    <col min="14" max="14" width="12" style="5" customWidth="1"/>
    <col min="15" max="15" width="11.28515625" style="5" bestFit="1" customWidth="1"/>
    <col min="16" max="16" width="12.28515625" style="5" customWidth="1"/>
    <col min="17" max="17" width="11" style="5" customWidth="1"/>
    <col min="18" max="18" width="11.5703125" style="5" customWidth="1"/>
    <col min="19" max="19" width="11" style="5" customWidth="1"/>
    <col min="20" max="20" width="12.5703125" style="5" customWidth="1"/>
    <col min="21" max="21" width="12.7109375" style="5" customWidth="1"/>
    <col min="22" max="22" width="12.140625" style="5" customWidth="1"/>
    <col min="23" max="23" width="11.140625" style="5" customWidth="1"/>
    <col min="24" max="24" width="12.140625" style="5" customWidth="1"/>
    <col min="25" max="25" width="11.85546875" style="5" customWidth="1"/>
    <col min="26" max="26" width="11.28515625" style="5" customWidth="1"/>
    <col min="27" max="27" width="11.28515625" style="5" bestFit="1" customWidth="1"/>
    <col min="28" max="28" width="12.7109375" style="5" customWidth="1"/>
    <col min="29" max="29" width="12.5703125" style="5" customWidth="1"/>
    <col min="30" max="16384" width="9.140625" style="5"/>
  </cols>
  <sheetData>
    <row r="1" spans="1:28" x14ac:dyDescent="0.25">
      <c r="A1" s="4" t="s">
        <v>64</v>
      </c>
      <c r="B1" s="4" t="s">
        <v>21</v>
      </c>
      <c r="C1" s="11" t="s">
        <v>42</v>
      </c>
      <c r="D1" s="14" t="s">
        <v>20</v>
      </c>
      <c r="E1" s="7">
        <f>AVERAGE(C2:C21)</f>
        <v>200</v>
      </c>
    </row>
    <row r="2" spans="1:28" x14ac:dyDescent="0.25">
      <c r="A2" s="1" t="s">
        <v>22</v>
      </c>
      <c r="B2" s="2">
        <v>14</v>
      </c>
      <c r="C2" s="7">
        <v>10</v>
      </c>
      <c r="D2" s="14" t="s">
        <v>0</v>
      </c>
      <c r="E2" s="7">
        <f>COUNT(C2:C21)</f>
        <v>20</v>
      </c>
      <c r="H2" s="6" t="s">
        <v>16</v>
      </c>
      <c r="I2" s="6" t="s">
        <v>17</v>
      </c>
    </row>
    <row r="3" spans="1:28" x14ac:dyDescent="0.25">
      <c r="A3" s="1" t="s">
        <v>23</v>
      </c>
      <c r="B3" s="3">
        <v>21</v>
      </c>
      <c r="C3" s="7">
        <f>C2+20</f>
        <v>30</v>
      </c>
      <c r="D3" s="14" t="s">
        <v>3</v>
      </c>
      <c r="E3" s="7">
        <v>10</v>
      </c>
      <c r="H3" s="7" t="s">
        <v>43</v>
      </c>
      <c r="I3" s="7">
        <v>3</v>
      </c>
      <c r="L3" s="6" t="s">
        <v>18</v>
      </c>
      <c r="M3" s="7">
        <v>10</v>
      </c>
      <c r="N3" s="7">
        <v>10</v>
      </c>
      <c r="O3" s="7">
        <v>88</v>
      </c>
      <c r="P3" s="7">
        <v>88</v>
      </c>
      <c r="Q3" s="7">
        <v>88</v>
      </c>
      <c r="R3" s="7">
        <v>166</v>
      </c>
      <c r="S3" s="7">
        <v>166</v>
      </c>
      <c r="T3" s="7">
        <v>166</v>
      </c>
      <c r="U3" s="7">
        <v>244</v>
      </c>
      <c r="V3" s="7">
        <v>244</v>
      </c>
      <c r="W3" s="7">
        <v>244</v>
      </c>
      <c r="X3" s="7">
        <v>322</v>
      </c>
      <c r="Y3" s="7">
        <v>322</v>
      </c>
      <c r="Z3" s="7">
        <v>322</v>
      </c>
      <c r="AA3" s="7">
        <v>400</v>
      </c>
      <c r="AB3" s="7">
        <v>400</v>
      </c>
    </row>
    <row r="4" spans="1:28" x14ac:dyDescent="0.25">
      <c r="A4" s="1" t="s">
        <v>24</v>
      </c>
      <c r="B4" s="1">
        <v>62</v>
      </c>
      <c r="C4" s="7">
        <f t="shared" ref="C4:C21" si="0">C3+20</f>
        <v>50</v>
      </c>
      <c r="D4" s="14" t="s">
        <v>2</v>
      </c>
      <c r="E4" s="7">
        <v>400</v>
      </c>
      <c r="H4" s="20" t="s">
        <v>44</v>
      </c>
      <c r="I4" s="7">
        <f>I3+F21</f>
        <v>6</v>
      </c>
      <c r="L4" s="6" t="s">
        <v>19</v>
      </c>
      <c r="M4" s="7">
        <v>0</v>
      </c>
      <c r="N4" s="7">
        <v>3</v>
      </c>
      <c r="O4" s="7">
        <v>3</v>
      </c>
      <c r="P4" s="7">
        <v>0</v>
      </c>
      <c r="Q4" s="7">
        <v>3</v>
      </c>
      <c r="R4" s="7">
        <v>3</v>
      </c>
      <c r="S4" s="7">
        <v>0</v>
      </c>
      <c r="T4" s="7">
        <v>12</v>
      </c>
      <c r="U4" s="7">
        <v>12</v>
      </c>
      <c r="V4" s="7">
        <v>0</v>
      </c>
      <c r="W4" s="7">
        <v>1</v>
      </c>
      <c r="X4" s="7">
        <v>1</v>
      </c>
      <c r="Y4" s="7">
        <v>0</v>
      </c>
      <c r="Z4" s="7">
        <v>1</v>
      </c>
      <c r="AA4" s="7">
        <v>1</v>
      </c>
      <c r="AB4" s="7">
        <v>0</v>
      </c>
    </row>
    <row r="5" spans="1:28" x14ac:dyDescent="0.25">
      <c r="A5" s="1" t="s">
        <v>25</v>
      </c>
      <c r="B5" s="1">
        <v>107</v>
      </c>
      <c r="C5" s="7">
        <f t="shared" si="0"/>
        <v>70</v>
      </c>
      <c r="D5" s="14" t="s">
        <v>1</v>
      </c>
      <c r="E5" s="7">
        <f>E4-E3</f>
        <v>390</v>
      </c>
      <c r="H5" s="12" t="s">
        <v>45</v>
      </c>
      <c r="I5" s="7">
        <f t="shared" ref="I5:I7" si="1">I4+F22</f>
        <v>18</v>
      </c>
    </row>
    <row r="6" spans="1:28" x14ac:dyDescent="0.25">
      <c r="A6" s="1" t="s">
        <v>26</v>
      </c>
      <c r="B6" s="2">
        <v>184</v>
      </c>
      <c r="C6" s="7">
        <f t="shared" si="0"/>
        <v>90</v>
      </c>
      <c r="D6" s="14" t="s">
        <v>4</v>
      </c>
      <c r="E6" s="7">
        <f>_xlfn.FLOOR.MATH(1+3.332*LOG10(E2))</f>
        <v>5</v>
      </c>
      <c r="H6" s="12" t="s">
        <v>46</v>
      </c>
      <c r="I6" s="7">
        <f t="shared" si="1"/>
        <v>19</v>
      </c>
    </row>
    <row r="7" spans="1:28" x14ac:dyDescent="0.25">
      <c r="A7" s="1" t="s">
        <v>27</v>
      </c>
      <c r="B7" s="1">
        <v>156</v>
      </c>
      <c r="C7" s="7">
        <f t="shared" si="0"/>
        <v>110</v>
      </c>
      <c r="D7" s="14" t="s">
        <v>5</v>
      </c>
      <c r="E7" s="7">
        <f>E5/E6</f>
        <v>78</v>
      </c>
      <c r="H7" s="12" t="s">
        <v>47</v>
      </c>
      <c r="I7" s="7">
        <f t="shared" si="1"/>
        <v>20</v>
      </c>
    </row>
    <row r="8" spans="1:28" x14ac:dyDescent="0.25">
      <c r="A8" s="1" t="s">
        <v>28</v>
      </c>
      <c r="B8" s="1">
        <v>162</v>
      </c>
      <c r="C8" s="7">
        <f t="shared" si="0"/>
        <v>130</v>
      </c>
      <c r="D8" s="14" t="s">
        <v>6</v>
      </c>
      <c r="E8" s="7">
        <f>KURT(C2:C21)</f>
        <v>-1.2000000000000011</v>
      </c>
    </row>
    <row r="9" spans="1:28" x14ac:dyDescent="0.25">
      <c r="A9" s="1" t="s">
        <v>29</v>
      </c>
      <c r="B9" s="2">
        <v>225</v>
      </c>
      <c r="C9" s="7">
        <f t="shared" si="0"/>
        <v>150</v>
      </c>
      <c r="D9" s="14" t="s">
        <v>7</v>
      </c>
      <c r="E9" s="7">
        <f>AVEDEV(C2:C21)</f>
        <v>100</v>
      </c>
    </row>
    <row r="10" spans="1:28" x14ac:dyDescent="0.25">
      <c r="A10" s="1" t="s">
        <v>30</v>
      </c>
      <c r="B10" s="1">
        <v>175</v>
      </c>
      <c r="C10" s="7">
        <f t="shared" si="0"/>
        <v>170</v>
      </c>
      <c r="D10" s="14" t="s">
        <v>8</v>
      </c>
      <c r="E10" s="8">
        <f>_xlfn.VAR.P(C2:C21)</f>
        <v>13300</v>
      </c>
    </row>
    <row r="11" spans="1:28" x14ac:dyDescent="0.25">
      <c r="A11" s="1" t="s">
        <v>31</v>
      </c>
      <c r="B11" s="2">
        <v>210</v>
      </c>
      <c r="C11" s="7">
        <f t="shared" si="0"/>
        <v>190</v>
      </c>
      <c r="D11" s="14" t="s">
        <v>9</v>
      </c>
      <c r="E11" s="8">
        <f>_xlfn.VAR.S(C2:C21)</f>
        <v>14000</v>
      </c>
    </row>
    <row r="12" spans="1:28" x14ac:dyDescent="0.25">
      <c r="A12" s="1" t="s">
        <v>32</v>
      </c>
      <c r="B12" s="2">
        <v>170</v>
      </c>
      <c r="C12" s="7">
        <f t="shared" si="0"/>
        <v>210</v>
      </c>
      <c r="D12" s="14" t="s">
        <v>10</v>
      </c>
      <c r="E12" s="7">
        <f>_xlfn.STDEV.P(C2:C21)</f>
        <v>115.32562594670796</v>
      </c>
    </row>
    <row r="13" spans="1:28" x14ac:dyDescent="0.25">
      <c r="A13" s="1" t="s">
        <v>33</v>
      </c>
      <c r="B13" s="1">
        <v>169</v>
      </c>
      <c r="C13" s="7">
        <f t="shared" si="0"/>
        <v>230</v>
      </c>
      <c r="D13" s="14" t="s">
        <v>11</v>
      </c>
      <c r="E13" s="7">
        <f>_xlfn.STDEV.S(C2:C21)</f>
        <v>118.32159566199232</v>
      </c>
    </row>
    <row r="14" spans="1:28" x14ac:dyDescent="0.25">
      <c r="A14" s="1" t="s">
        <v>34</v>
      </c>
      <c r="B14" s="1">
        <v>216</v>
      </c>
      <c r="C14" s="7">
        <f t="shared" si="0"/>
        <v>250</v>
      </c>
      <c r="D14" s="14" t="s">
        <v>12</v>
      </c>
      <c r="E14" s="9">
        <f>E13/AVERAGE(C2:C21)</f>
        <v>0.59160797830996159</v>
      </c>
    </row>
    <row r="15" spans="1:28" x14ac:dyDescent="0.25">
      <c r="A15" s="1" t="s">
        <v>35</v>
      </c>
      <c r="B15" s="1">
        <v>180</v>
      </c>
      <c r="C15" s="7">
        <f t="shared" si="0"/>
        <v>270</v>
      </c>
      <c r="D15" s="14" t="s">
        <v>13</v>
      </c>
      <c r="E15" s="9">
        <f>E5/AVERAGE(C2:C21)</f>
        <v>1.95</v>
      </c>
    </row>
    <row r="16" spans="1:28" x14ac:dyDescent="0.25">
      <c r="A16" s="1" t="s">
        <v>36</v>
      </c>
      <c r="B16" s="1">
        <v>217</v>
      </c>
      <c r="C16" s="7">
        <f t="shared" si="0"/>
        <v>290</v>
      </c>
      <c r="D16" s="14" t="s">
        <v>65</v>
      </c>
      <c r="E16" s="1">
        <f>SKEW(C2:C21)</f>
        <v>-1.0388051692399125E-16</v>
      </c>
    </row>
    <row r="17" spans="1:16" x14ac:dyDescent="0.25">
      <c r="A17" s="1" t="s">
        <v>37</v>
      </c>
      <c r="B17" s="2">
        <v>190</v>
      </c>
      <c r="C17" s="7">
        <f t="shared" si="0"/>
        <v>310</v>
      </c>
    </row>
    <row r="18" spans="1:16" x14ac:dyDescent="0.25">
      <c r="A18" s="1" t="s">
        <v>38</v>
      </c>
      <c r="B18" s="1">
        <v>226</v>
      </c>
      <c r="C18" s="7">
        <f t="shared" si="0"/>
        <v>330</v>
      </c>
    </row>
    <row r="19" spans="1:16" x14ac:dyDescent="0.25">
      <c r="A19" s="1" t="s">
        <v>39</v>
      </c>
      <c r="B19" s="2">
        <v>292</v>
      </c>
      <c r="C19" s="7">
        <f t="shared" si="0"/>
        <v>350</v>
      </c>
      <c r="D19" s="15" t="s">
        <v>14</v>
      </c>
      <c r="E19" s="13"/>
      <c r="F19" s="6" t="s">
        <v>15</v>
      </c>
    </row>
    <row r="20" spans="1:16" x14ac:dyDescent="0.25">
      <c r="A20" s="1" t="s">
        <v>40</v>
      </c>
      <c r="B20" s="1">
        <v>229</v>
      </c>
      <c r="C20" s="7">
        <f t="shared" si="0"/>
        <v>370</v>
      </c>
      <c r="D20" s="16">
        <f>E3</f>
        <v>10</v>
      </c>
      <c r="E20" s="10">
        <f>D20+$E$7</f>
        <v>88</v>
      </c>
      <c r="F20" s="7">
        <f t="array" ref="F20:F24">FREQUENCY(B2:B26,E20:E24)</f>
        <v>3</v>
      </c>
    </row>
    <row r="21" spans="1:16" x14ac:dyDescent="0.25">
      <c r="A21" s="1" t="s">
        <v>41</v>
      </c>
      <c r="B21" s="2">
        <v>360</v>
      </c>
      <c r="C21" s="7">
        <f t="shared" si="0"/>
        <v>390</v>
      </c>
      <c r="D21" s="17">
        <f>E20</f>
        <v>88</v>
      </c>
      <c r="E21" s="10">
        <f t="shared" ref="E21:E24" si="2">D21+$E$7</f>
        <v>166</v>
      </c>
      <c r="F21" s="7">
        <v>3</v>
      </c>
    </row>
    <row r="22" spans="1:16" x14ac:dyDescent="0.25">
      <c r="A22" s="4" t="s">
        <v>63</v>
      </c>
      <c r="B22" s="1">
        <f>SUM(B2:B21)</f>
        <v>3565</v>
      </c>
      <c r="D22" s="10">
        <f t="shared" ref="D22:D24" si="3">E21</f>
        <v>166</v>
      </c>
      <c r="E22" s="10">
        <f t="shared" si="2"/>
        <v>244</v>
      </c>
      <c r="F22" s="7">
        <v>12</v>
      </c>
    </row>
    <row r="23" spans="1:16" x14ac:dyDescent="0.25">
      <c r="A23" s="18"/>
      <c r="B23" s="18"/>
      <c r="D23" s="10">
        <f t="shared" si="3"/>
        <v>244</v>
      </c>
      <c r="E23" s="10">
        <f t="shared" si="2"/>
        <v>322</v>
      </c>
      <c r="F23" s="7">
        <v>1</v>
      </c>
    </row>
    <row r="24" spans="1:16" x14ac:dyDescent="0.25">
      <c r="A24" s="18"/>
      <c r="B24" s="18"/>
      <c r="D24" s="10">
        <f t="shared" si="3"/>
        <v>322</v>
      </c>
      <c r="E24" s="10">
        <f t="shared" si="2"/>
        <v>400</v>
      </c>
      <c r="F24" s="7">
        <v>1</v>
      </c>
    </row>
    <row r="25" spans="1:16" x14ac:dyDescent="0.25">
      <c r="A25" s="18"/>
      <c r="B25" s="18"/>
    </row>
    <row r="26" spans="1:16" x14ac:dyDescent="0.25">
      <c r="A26" s="18"/>
      <c r="B26" s="18"/>
    </row>
    <row r="29" spans="1:16" ht="18" x14ac:dyDescent="0.25">
      <c r="B29" s="21" t="s">
        <v>48</v>
      </c>
      <c r="C29" s="21" t="s">
        <v>49</v>
      </c>
      <c r="D29" s="22" t="s">
        <v>50</v>
      </c>
      <c r="E29" s="22" t="s">
        <v>51</v>
      </c>
      <c r="F29" s="22" t="s">
        <v>52</v>
      </c>
      <c r="G29" s="21" t="s">
        <v>53</v>
      </c>
      <c r="H29" s="22" t="s">
        <v>54</v>
      </c>
      <c r="I29" s="22" t="s">
        <v>55</v>
      </c>
      <c r="J29" s="22" t="s">
        <v>56</v>
      </c>
      <c r="K29" s="22" t="s">
        <v>57</v>
      </c>
      <c r="L29" s="22" t="s">
        <v>58</v>
      </c>
      <c r="M29" s="22" t="s">
        <v>59</v>
      </c>
      <c r="N29" s="22" t="s">
        <v>60</v>
      </c>
      <c r="O29" s="22" t="s">
        <v>61</v>
      </c>
      <c r="P29" s="22" t="s">
        <v>62</v>
      </c>
    </row>
    <row r="30" spans="1:16" x14ac:dyDescent="0.25">
      <c r="B30" s="23">
        <f>C2*B2</f>
        <v>140</v>
      </c>
      <c r="C30" s="24">
        <f>(SUM(B30:B49)/SUM(B2:B21))</f>
        <v>244.1654978962132</v>
      </c>
      <c r="D30" s="23">
        <f>POWER(C2-$C$30,2)</f>
        <v>54833.480404981427</v>
      </c>
      <c r="E30" s="23">
        <f>D30*B2</f>
        <v>767668.72566974</v>
      </c>
      <c r="F30" s="24">
        <f>SQRT((SUM(E30:E49))/(SUM(B2,B21)))</f>
        <v>318.91293615274503</v>
      </c>
      <c r="G30" s="25">
        <f>(C2-$C$30)/$F$30</f>
        <v>-0.73426152203515005</v>
      </c>
      <c r="H30" s="26">
        <f>(1/SQRT(2*3.1415))*(POWER(2.7182,(-G30*G30)/2))</f>
        <v>0.30468230655398276</v>
      </c>
      <c r="I30" s="23">
        <f>B22</f>
        <v>3565</v>
      </c>
      <c r="J30" s="23">
        <v>78</v>
      </c>
      <c r="K30" s="27">
        <f>H30*(($I$30*$J$30)/$F$30)</f>
        <v>265.66187626483566</v>
      </c>
      <c r="L30" s="23">
        <f>B2</f>
        <v>14</v>
      </c>
      <c r="M30" s="27">
        <f>K30</f>
        <v>265.66187626483566</v>
      </c>
      <c r="N30" s="27">
        <f>L30-M30</f>
        <v>-251.66187626483566</v>
      </c>
      <c r="O30" s="27">
        <f>MAX(N30:N49)</f>
        <v>-251.66187626483566</v>
      </c>
      <c r="P30" s="23">
        <f>O30/SQRT(I30)</f>
        <v>-4.2149037634282251</v>
      </c>
    </row>
    <row r="31" spans="1:16" x14ac:dyDescent="0.25">
      <c r="B31" s="23">
        <f t="shared" ref="B31:B49" si="4">C3*B3</f>
        <v>630</v>
      </c>
      <c r="C31" s="23"/>
      <c r="D31" s="23">
        <f t="shared" ref="D31:D49" si="5">POWER(C3-$C$30,2)</f>
        <v>45866.860489132901</v>
      </c>
      <c r="E31" s="23">
        <f t="shared" ref="E31:E49" si="6">D31*B3</f>
        <v>963204.07027179096</v>
      </c>
      <c r="F31" s="23"/>
      <c r="G31" s="25">
        <f t="shared" ref="G31:G49" si="7">(C3-$C$30)/$F$30</f>
        <v>-0.6715484811617598</v>
      </c>
      <c r="H31" s="26">
        <f t="shared" ref="H31:H49" si="8">(1/SQRT(2*3.1415))*(POWER(2.7182,(-G31*G31)/2))</f>
        <v>0.31841310084256796</v>
      </c>
      <c r="I31" s="23"/>
      <c r="J31" s="23"/>
      <c r="K31" s="27">
        <f t="shared" ref="K31:K49" si="9">H31*(($I$30*$J$30)/$F$30)</f>
        <v>277.63417821623148</v>
      </c>
      <c r="L31" s="28">
        <f>SUM($B$2:B3)</f>
        <v>35</v>
      </c>
      <c r="M31" s="27">
        <f>SUM($K$30:K31)</f>
        <v>543.29605448106713</v>
      </c>
      <c r="N31" s="27">
        <f t="shared" ref="N31:N49" si="10">L31-M31</f>
        <v>-508.29605448106713</v>
      </c>
      <c r="O31" s="23"/>
      <c r="P31" s="23"/>
    </row>
    <row r="32" spans="1:16" x14ac:dyDescent="0.25">
      <c r="B32" s="23">
        <f t="shared" si="4"/>
        <v>3100</v>
      </c>
      <c r="C32" s="23"/>
      <c r="D32" s="23">
        <f t="shared" si="5"/>
        <v>37700.240573284369</v>
      </c>
      <c r="E32" s="23">
        <f t="shared" si="6"/>
        <v>2337414.9155436307</v>
      </c>
      <c r="F32" s="23"/>
      <c r="G32" s="25">
        <f t="shared" si="7"/>
        <v>-0.60883544028836956</v>
      </c>
      <c r="H32" s="26">
        <f t="shared" si="8"/>
        <v>0.33145656486087294</v>
      </c>
      <c r="I32" s="23"/>
      <c r="J32" s="23"/>
      <c r="K32" s="27">
        <f t="shared" si="9"/>
        <v>289.0071757600906</v>
      </c>
      <c r="L32" s="28">
        <f>SUM($B$2:B4)</f>
        <v>97</v>
      </c>
      <c r="M32" s="27">
        <f>SUM($K$30:K32)</f>
        <v>832.30323024115773</v>
      </c>
      <c r="N32" s="27">
        <f t="shared" si="10"/>
        <v>-735.30323024115773</v>
      </c>
      <c r="O32" s="23"/>
      <c r="P32" s="23"/>
    </row>
    <row r="33" spans="2:16" x14ac:dyDescent="0.25">
      <c r="B33" s="23">
        <f t="shared" si="4"/>
        <v>7490</v>
      </c>
      <c r="C33" s="23"/>
      <c r="D33" s="23">
        <f t="shared" si="5"/>
        <v>30333.620657435844</v>
      </c>
      <c r="E33" s="23">
        <f t="shared" si="6"/>
        <v>3245697.4103456354</v>
      </c>
      <c r="F33" s="23"/>
      <c r="G33" s="25">
        <f t="shared" si="7"/>
        <v>-0.5461223994149792</v>
      </c>
      <c r="H33" s="26">
        <f t="shared" si="8"/>
        <v>0.34368005223716969</v>
      </c>
      <c r="I33" s="23"/>
      <c r="J33" s="23"/>
      <c r="K33" s="27">
        <f t="shared" si="9"/>
        <v>299.66521044419909</v>
      </c>
      <c r="L33" s="28">
        <f>SUM($B$2:B5)</f>
        <v>204</v>
      </c>
      <c r="M33" s="27">
        <f>SUM($K$30:K33)</f>
        <v>1131.9684406853569</v>
      </c>
      <c r="N33" s="27">
        <f t="shared" si="10"/>
        <v>-927.96844068535688</v>
      </c>
      <c r="O33" s="23"/>
      <c r="P33" s="23"/>
    </row>
    <row r="34" spans="2:16" x14ac:dyDescent="0.25">
      <c r="B34" s="23">
        <f t="shared" si="4"/>
        <v>16560</v>
      </c>
      <c r="C34" s="23"/>
      <c r="D34" s="23">
        <f t="shared" si="5"/>
        <v>23767.000741587315</v>
      </c>
      <c r="E34" s="23">
        <f t="shared" si="6"/>
        <v>4373128.1364520658</v>
      </c>
      <c r="F34" s="23"/>
      <c r="G34" s="25">
        <f t="shared" si="7"/>
        <v>-0.48340935854158895</v>
      </c>
      <c r="H34" s="26">
        <f t="shared" si="8"/>
        <v>0.35495559802493526</v>
      </c>
      <c r="I34" s="23"/>
      <c r="J34" s="23"/>
      <c r="K34" s="27">
        <f t="shared" si="9"/>
        <v>309.49670569499779</v>
      </c>
      <c r="L34" s="28">
        <f>SUM($B$2:B6)</f>
        <v>388</v>
      </c>
      <c r="M34" s="27">
        <f>SUM($K$30:K34)</f>
        <v>1441.4651463803548</v>
      </c>
      <c r="N34" s="27">
        <f t="shared" si="10"/>
        <v>-1053.4651463803548</v>
      </c>
      <c r="O34" s="23"/>
      <c r="P34" s="23"/>
    </row>
    <row r="35" spans="2:16" x14ac:dyDescent="0.25">
      <c r="B35" s="23">
        <f t="shared" si="4"/>
        <v>17160</v>
      </c>
      <c r="C35" s="23"/>
      <c r="D35" s="23">
        <f t="shared" si="5"/>
        <v>18000.380825738786</v>
      </c>
      <c r="E35" s="23">
        <f t="shared" si="6"/>
        <v>2808059.4088152507</v>
      </c>
      <c r="F35" s="23"/>
      <c r="G35" s="25">
        <f t="shared" si="7"/>
        <v>-0.4206963176681987</v>
      </c>
      <c r="H35" s="26">
        <f t="shared" si="8"/>
        <v>0.36516213497314343</v>
      </c>
      <c r="I35" s="23"/>
      <c r="J35" s="23"/>
      <c r="K35" s="27">
        <f t="shared" si="9"/>
        <v>318.39609925183015</v>
      </c>
      <c r="L35" s="28">
        <f>SUM($B$2:B7)</f>
        <v>544</v>
      </c>
      <c r="M35" s="27">
        <f>SUM($K$30:K35)</f>
        <v>1759.8612456321848</v>
      </c>
      <c r="N35" s="27">
        <f t="shared" si="10"/>
        <v>-1215.8612456321848</v>
      </c>
      <c r="O35" s="23"/>
      <c r="P35" s="23"/>
    </row>
    <row r="36" spans="2:16" x14ac:dyDescent="0.25">
      <c r="B36" s="23">
        <f t="shared" si="4"/>
        <v>21060</v>
      </c>
      <c r="C36" s="23"/>
      <c r="D36" s="23">
        <f t="shared" si="5"/>
        <v>13033.760909890259</v>
      </c>
      <c r="E36" s="23">
        <f t="shared" si="6"/>
        <v>2111469.2674022219</v>
      </c>
      <c r="F36" s="23"/>
      <c r="G36" s="25">
        <f t="shared" si="7"/>
        <v>-0.35798327679480846</v>
      </c>
      <c r="H36" s="26">
        <f t="shared" si="8"/>
        <v>0.3741876493994577</v>
      </c>
      <c r="I36" s="23"/>
      <c r="J36" s="23"/>
      <c r="K36" s="27">
        <f t="shared" si="9"/>
        <v>326.26572293910249</v>
      </c>
      <c r="L36" s="28">
        <f>SUM($B$2:B8)</f>
        <v>706</v>
      </c>
      <c r="M36" s="27">
        <f>SUM($K$30:K36)</f>
        <v>2086.1269685712873</v>
      </c>
      <c r="N36" s="27">
        <f t="shared" si="10"/>
        <v>-1380.1269685712873</v>
      </c>
      <c r="O36" s="23"/>
      <c r="P36" s="23"/>
    </row>
    <row r="37" spans="2:16" x14ac:dyDescent="0.25">
      <c r="B37" s="23">
        <f t="shared" si="4"/>
        <v>33750</v>
      </c>
      <c r="C37" s="23"/>
      <c r="D37" s="23">
        <f t="shared" si="5"/>
        <v>8867.1409940417325</v>
      </c>
      <c r="E37" s="23">
        <f t="shared" si="6"/>
        <v>1995106.7236593899</v>
      </c>
      <c r="F37" s="23"/>
      <c r="G37" s="25">
        <f t="shared" si="7"/>
        <v>-0.29527023592141816</v>
      </c>
      <c r="H37" s="26">
        <f t="shared" si="8"/>
        <v>0.38193122320813866</v>
      </c>
      <c r="I37" s="23"/>
      <c r="J37" s="23"/>
      <c r="K37" s="27">
        <f t="shared" si="9"/>
        <v>333.01758316451713</v>
      </c>
      <c r="L37" s="28">
        <f>SUM($B$2:B9)</f>
        <v>931</v>
      </c>
      <c r="M37" s="27">
        <f>SUM($K$30:K37)</f>
        <v>2419.1445517358043</v>
      </c>
      <c r="N37" s="27">
        <f t="shared" si="10"/>
        <v>-1488.1445517358043</v>
      </c>
      <c r="O37" s="23"/>
      <c r="P37" s="23"/>
    </row>
    <row r="38" spans="2:16" x14ac:dyDescent="0.25">
      <c r="B38" s="23">
        <f t="shared" si="4"/>
        <v>29750</v>
      </c>
      <c r="C38" s="23"/>
      <c r="D38" s="23">
        <f t="shared" si="5"/>
        <v>5500.5210781932037</v>
      </c>
      <c r="E38" s="23">
        <f t="shared" si="6"/>
        <v>962591.18868381064</v>
      </c>
      <c r="F38" s="23"/>
      <c r="G38" s="25">
        <f t="shared" si="7"/>
        <v>-0.23255719504802791</v>
      </c>
      <c r="H38" s="26">
        <f t="shared" si="8"/>
        <v>0.38830491011959678</v>
      </c>
      <c r="I38" s="23"/>
      <c r="J38" s="23"/>
      <c r="K38" s="27">
        <f t="shared" si="9"/>
        <v>338.57499686133968</v>
      </c>
      <c r="L38" s="28">
        <f>SUM($B$2:B10)</f>
        <v>1106</v>
      </c>
      <c r="M38" s="27">
        <f>SUM($K$30:K38)</f>
        <v>2757.7195485971438</v>
      </c>
      <c r="N38" s="27">
        <f t="shared" si="10"/>
        <v>-1651.7195485971438</v>
      </c>
      <c r="O38" s="23"/>
      <c r="P38" s="23"/>
    </row>
    <row r="39" spans="2:16" x14ac:dyDescent="0.25">
      <c r="B39" s="23">
        <f t="shared" si="4"/>
        <v>39900</v>
      </c>
      <c r="C39" s="23"/>
      <c r="D39" s="23">
        <f t="shared" si="5"/>
        <v>2933.9011623446763</v>
      </c>
      <c r="E39" s="23">
        <f t="shared" si="6"/>
        <v>616119.24409238202</v>
      </c>
      <c r="F39" s="23"/>
      <c r="G39" s="25">
        <f t="shared" si="7"/>
        <v>-0.16984415417463763</v>
      </c>
      <c r="H39" s="26">
        <f t="shared" si="8"/>
        <v>0.39323539739543523</v>
      </c>
      <c r="I39" s="23"/>
      <c r="J39" s="23"/>
      <c r="K39" s="27">
        <f t="shared" si="9"/>
        <v>342.87404039758474</v>
      </c>
      <c r="L39" s="28">
        <f>SUM($B$2:B11)</f>
        <v>1316</v>
      </c>
      <c r="M39" s="27">
        <f>SUM($K$30:K39)</f>
        <v>3100.5935889947286</v>
      </c>
      <c r="N39" s="27">
        <f t="shared" si="10"/>
        <v>-1784.5935889947286</v>
      </c>
      <c r="O39" s="23"/>
      <c r="P39" s="23"/>
    </row>
    <row r="40" spans="2:16" x14ac:dyDescent="0.25">
      <c r="B40" s="23">
        <f t="shared" si="4"/>
        <v>35700</v>
      </c>
      <c r="C40" s="23"/>
      <c r="D40" s="23">
        <f t="shared" si="5"/>
        <v>1167.2812464961482</v>
      </c>
      <c r="E40" s="23">
        <f t="shared" si="6"/>
        <v>198437.8119043452</v>
      </c>
      <c r="F40" s="23"/>
      <c r="G40" s="25">
        <f t="shared" si="7"/>
        <v>-0.10713111330124737</v>
      </c>
      <c r="H40" s="26">
        <f t="shared" si="8"/>
        <v>0.39666540918198678</v>
      </c>
      <c r="I40" s="23"/>
      <c r="J40" s="23"/>
      <c r="K40" s="27">
        <f t="shared" si="9"/>
        <v>345.86477319441798</v>
      </c>
      <c r="L40" s="28">
        <f>SUM($B$2:B12)</f>
        <v>1486</v>
      </c>
      <c r="M40" s="27">
        <f>SUM($K$30:K40)</f>
        <v>3446.4583621891466</v>
      </c>
      <c r="N40" s="27">
        <f t="shared" si="10"/>
        <v>-1960.4583621891466</v>
      </c>
      <c r="O40" s="23"/>
      <c r="P40" s="23"/>
    </row>
    <row r="41" spans="2:16" x14ac:dyDescent="0.25">
      <c r="B41" s="23">
        <f t="shared" si="4"/>
        <v>38870</v>
      </c>
      <c r="C41" s="23"/>
      <c r="D41" s="23">
        <f t="shared" si="5"/>
        <v>200.6613306476205</v>
      </c>
      <c r="E41" s="23">
        <f t="shared" si="6"/>
        <v>33911.764879447866</v>
      </c>
      <c r="F41" s="23"/>
      <c r="G41" s="25">
        <f t="shared" si="7"/>
        <v>-4.44180724278571E-2</v>
      </c>
      <c r="H41" s="26">
        <f t="shared" si="8"/>
        <v>0.39855481392131986</v>
      </c>
      <c r="I41" s="23"/>
      <c r="J41" s="23"/>
      <c r="K41" s="27">
        <f t="shared" si="9"/>
        <v>347.51220331188023</v>
      </c>
      <c r="L41" s="28">
        <f>SUM($B$2:B13)</f>
        <v>1655</v>
      </c>
      <c r="M41" s="27">
        <f>SUM($K$30:K41)</f>
        <v>3793.9705655010266</v>
      </c>
      <c r="N41" s="27">
        <f t="shared" si="10"/>
        <v>-2138.9705655010266</v>
      </c>
      <c r="O41" s="23"/>
      <c r="P41" s="23"/>
    </row>
    <row r="42" spans="2:16" x14ac:dyDescent="0.25">
      <c r="B42" s="23">
        <f t="shared" si="4"/>
        <v>54000</v>
      </c>
      <c r="C42" s="23"/>
      <c r="D42" s="23">
        <f t="shared" si="5"/>
        <v>34.041414799092635</v>
      </c>
      <c r="E42" s="23">
        <f t="shared" si="6"/>
        <v>7352.9455966040096</v>
      </c>
      <c r="F42" s="23"/>
      <c r="G42" s="25">
        <f t="shared" si="7"/>
        <v>1.8294968445533168E-2</v>
      </c>
      <c r="H42" s="26">
        <f t="shared" si="8"/>
        <v>0.3988814058945967</v>
      </c>
      <c r="I42" s="23"/>
      <c r="J42" s="23"/>
      <c r="K42" s="27">
        <f t="shared" si="9"/>
        <v>347.79696890058494</v>
      </c>
      <c r="L42" s="28">
        <f>SUM($B$2:B14)</f>
        <v>1871</v>
      </c>
      <c r="M42" s="27">
        <f>SUM($K$30:K42)</f>
        <v>4141.7675344016116</v>
      </c>
      <c r="N42" s="27">
        <f t="shared" si="10"/>
        <v>-2270.7675344016116</v>
      </c>
      <c r="O42" s="23"/>
      <c r="P42" s="23"/>
    </row>
    <row r="43" spans="2:16" x14ac:dyDescent="0.25">
      <c r="B43" s="23">
        <f t="shared" si="4"/>
        <v>48600</v>
      </c>
      <c r="C43" s="23"/>
      <c r="D43" s="23">
        <f t="shared" si="5"/>
        <v>667.4214989505648</v>
      </c>
      <c r="E43" s="23">
        <f t="shared" si="6"/>
        <v>120135.86981110166</v>
      </c>
      <c r="F43" s="23"/>
      <c r="G43" s="25">
        <f t="shared" si="7"/>
        <v>8.1008009318923435E-2</v>
      </c>
      <c r="H43" s="26">
        <f t="shared" si="8"/>
        <v>0.39764133961754333</v>
      </c>
      <c r="I43" s="23"/>
      <c r="J43" s="23"/>
      <c r="K43" s="27">
        <f t="shared" si="9"/>
        <v>346.71571696449206</v>
      </c>
      <c r="L43" s="28">
        <f>SUM($B$2:B15)</f>
        <v>2051</v>
      </c>
      <c r="M43" s="27">
        <f>SUM($K$30:K43)</f>
        <v>4488.483251366104</v>
      </c>
      <c r="N43" s="27">
        <f t="shared" si="10"/>
        <v>-2437.483251366104</v>
      </c>
      <c r="O43" s="23"/>
      <c r="P43" s="23"/>
    </row>
    <row r="44" spans="2:16" x14ac:dyDescent="0.25">
      <c r="B44" s="23">
        <f t="shared" si="4"/>
        <v>62930</v>
      </c>
      <c r="C44" s="23"/>
      <c r="D44" s="23">
        <f t="shared" si="5"/>
        <v>2100.8015831020371</v>
      </c>
      <c r="E44" s="23">
        <f t="shared" si="6"/>
        <v>455873.94353314204</v>
      </c>
      <c r="F44" s="23"/>
      <c r="G44" s="25">
        <f t="shared" si="7"/>
        <v>0.14372105019231371</v>
      </c>
      <c r="H44" s="26">
        <f t="shared" si="8"/>
        <v>0.39484920520667655</v>
      </c>
      <c r="I44" s="23"/>
      <c r="J44" s="23"/>
      <c r="K44" s="27">
        <f t="shared" si="9"/>
        <v>344.28116907503966</v>
      </c>
      <c r="L44" s="28">
        <f>SUM($B$2:B16)</f>
        <v>2268</v>
      </c>
      <c r="M44" s="27">
        <f>SUM($K$30:K44)</f>
        <v>4832.7644204411436</v>
      </c>
      <c r="N44" s="27">
        <f t="shared" si="10"/>
        <v>-2564.7644204411436</v>
      </c>
      <c r="O44" s="23"/>
      <c r="P44" s="23"/>
    </row>
    <row r="45" spans="2:16" x14ac:dyDescent="0.25">
      <c r="B45" s="23">
        <f t="shared" si="4"/>
        <v>58900</v>
      </c>
      <c r="C45" s="7"/>
      <c r="D45" s="23">
        <f t="shared" si="5"/>
        <v>4334.1816672535087</v>
      </c>
      <c r="E45" s="23">
        <f t="shared" si="6"/>
        <v>823494.51677816664</v>
      </c>
      <c r="F45" s="7"/>
      <c r="G45" s="25">
        <f t="shared" si="7"/>
        <v>0.20643409106570396</v>
      </c>
      <c r="H45" s="26">
        <f t="shared" si="8"/>
        <v>0.39053774265108254</v>
      </c>
      <c r="I45" s="7"/>
      <c r="J45" s="7"/>
      <c r="K45" s="27">
        <f t="shared" si="9"/>
        <v>340.52187223591801</v>
      </c>
      <c r="L45" s="28">
        <f>SUM($B$2:B17)</f>
        <v>2458</v>
      </c>
      <c r="M45" s="27">
        <f>SUM($K$30:K45)</f>
        <v>5173.2862926770613</v>
      </c>
      <c r="N45" s="27">
        <f t="shared" si="10"/>
        <v>-2715.2862926770613</v>
      </c>
      <c r="O45" s="7"/>
      <c r="P45" s="7"/>
    </row>
    <row r="46" spans="2:16" x14ac:dyDescent="0.25">
      <c r="B46" s="23">
        <f t="shared" si="4"/>
        <v>74580</v>
      </c>
      <c r="C46" s="7"/>
      <c r="D46" s="23">
        <f t="shared" si="5"/>
        <v>7367.5617514049809</v>
      </c>
      <c r="E46" s="23">
        <f t="shared" si="6"/>
        <v>1665068.9558175257</v>
      </c>
      <c r="F46" s="7"/>
      <c r="G46" s="25">
        <f t="shared" si="7"/>
        <v>0.26914713193909423</v>
      </c>
      <c r="H46" s="26">
        <f t="shared" si="8"/>
        <v>0.38475720281337061</v>
      </c>
      <c r="I46" s="7"/>
      <c r="J46" s="7"/>
      <c r="K46" s="27">
        <f t="shared" si="9"/>
        <v>335.4816417201427</v>
      </c>
      <c r="L46" s="28">
        <f>SUM($B$2:B18)</f>
        <v>2684</v>
      </c>
      <c r="M46" s="27">
        <f>SUM($K$30:K46)</f>
        <v>5508.767934397204</v>
      </c>
      <c r="N46" s="27">
        <f t="shared" si="10"/>
        <v>-2824.767934397204</v>
      </c>
      <c r="O46" s="7"/>
      <c r="P46" s="7"/>
    </row>
    <row r="47" spans="2:16" x14ac:dyDescent="0.25">
      <c r="B47" s="23">
        <f t="shared" si="4"/>
        <v>102200</v>
      </c>
      <c r="C47" s="7"/>
      <c r="D47" s="23">
        <f t="shared" si="5"/>
        <v>11200.941835556454</v>
      </c>
      <c r="E47" s="23">
        <f t="shared" si="6"/>
        <v>3270675.0159824844</v>
      </c>
      <c r="F47" s="7"/>
      <c r="G47" s="25">
        <f t="shared" si="7"/>
        <v>0.33186017281248448</v>
      </c>
      <c r="H47" s="26">
        <f t="shared" si="8"/>
        <v>0.3775743725971738</v>
      </c>
      <c r="I47" s="7"/>
      <c r="J47" s="7"/>
      <c r="K47" s="27">
        <f t="shared" si="9"/>
        <v>329.21871108360932</v>
      </c>
      <c r="L47" s="28">
        <f>SUM($B$2:B19)</f>
        <v>2976</v>
      </c>
      <c r="M47" s="27">
        <f>SUM($K$30:K47)</f>
        <v>5837.9866454808134</v>
      </c>
      <c r="N47" s="27">
        <f t="shared" si="10"/>
        <v>-2861.9866454808134</v>
      </c>
      <c r="O47" s="7"/>
      <c r="P47" s="7"/>
    </row>
    <row r="48" spans="2:16" x14ac:dyDescent="0.25">
      <c r="B48" s="23">
        <f t="shared" si="4"/>
        <v>84730</v>
      </c>
      <c r="C48" s="7"/>
      <c r="D48" s="23">
        <f t="shared" si="5"/>
        <v>15834.321919707925</v>
      </c>
      <c r="E48" s="23">
        <f t="shared" si="6"/>
        <v>3626059.7196131148</v>
      </c>
      <c r="F48" s="7"/>
      <c r="G48" s="25">
        <f t="shared" si="7"/>
        <v>0.39457321368587478</v>
      </c>
      <c r="H48" s="26">
        <f t="shared" si="8"/>
        <v>0.36907129072133132</v>
      </c>
      <c r="I48" s="7"/>
      <c r="J48" s="7"/>
      <c r="K48" s="27">
        <f t="shared" si="9"/>
        <v>321.80461240909506</v>
      </c>
      <c r="L48" s="28">
        <f>SUM($B$2:B20)</f>
        <v>3205</v>
      </c>
      <c r="M48" s="27">
        <f>SUM($K$30:K48)</f>
        <v>6159.7912578899086</v>
      </c>
      <c r="N48" s="27">
        <f t="shared" si="10"/>
        <v>-2954.7912578899086</v>
      </c>
      <c r="O48" s="7"/>
      <c r="P48" s="7"/>
    </row>
    <row r="49" spans="2:16" x14ac:dyDescent="0.25">
      <c r="B49" s="23">
        <f t="shared" si="4"/>
        <v>140400</v>
      </c>
      <c r="C49" s="7"/>
      <c r="D49" s="23">
        <f t="shared" si="5"/>
        <v>21267.702003859398</v>
      </c>
      <c r="E49" s="23">
        <f t="shared" si="6"/>
        <v>7656372.7213893831</v>
      </c>
      <c r="F49" s="7"/>
      <c r="G49" s="25">
        <f t="shared" si="7"/>
        <v>0.45728625455926503</v>
      </c>
      <c r="H49" s="26">
        <f t="shared" si="8"/>
        <v>0.35934368862285049</v>
      </c>
      <c r="I49" s="7"/>
      <c r="J49" s="7"/>
      <c r="K49" s="27">
        <f t="shared" si="9"/>
        <v>313.32281688158781</v>
      </c>
      <c r="L49" s="28">
        <f>SUM($B$2:B21)</f>
        <v>3565</v>
      </c>
      <c r="M49" s="27">
        <f>SUM($K$30:K49)</f>
        <v>6473.1140747714962</v>
      </c>
      <c r="N49" s="27">
        <f t="shared" si="10"/>
        <v>-2908.1140747714962</v>
      </c>
      <c r="O49" s="7"/>
      <c r="P49" s="7"/>
    </row>
    <row r="50" spans="2:16" x14ac:dyDescent="0.25">
      <c r="C50" s="19"/>
      <c r="D50" s="18"/>
    </row>
    <row r="51" spans="2:16" x14ac:dyDescent="0.25">
      <c r="D51" s="19"/>
      <c r="E51" s="18"/>
    </row>
    <row r="52" spans="2:16" x14ac:dyDescent="0.25">
      <c r="D52" s="19"/>
      <c r="E52" s="18"/>
    </row>
    <row r="53" spans="2:16" x14ac:dyDescent="0.25">
      <c r="D53" s="19"/>
      <c r="E53" s="18"/>
    </row>
  </sheetData>
  <sortState ref="E29:E53">
    <sortCondition ref="E29"/>
  </sortState>
  <mergeCells count="1">
    <mergeCell ref="D19:E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2023-12-24T14:16:55Z</dcterms:modified>
</cp:coreProperties>
</file>