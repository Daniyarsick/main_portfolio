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Workbook________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6ED05B3-EA9B-4095-ADF1-EF8AA2D4D7DF}" xr6:coauthVersionLast="47" xr6:coauthVersionMax="47" xr10:uidLastSave="{00000000-0000-0000-0000-000000000000}"/>
  <bookViews>
    <workbookView xWindow="-120" yWindow="-120" windowWidth="29040" windowHeight="15720" xr2:uid="{31CF88A1-9F97-4053-85D2-385B893F295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3" i="1" l="1"/>
  <c r="C17" i="1" s="1"/>
  <c r="C16" i="1"/>
  <c r="C28" i="1" l="1"/>
  <c r="C29" i="1" s="1"/>
  <c r="C30" i="1" s="1"/>
  <c r="C31" i="1"/>
</calcChain>
</file>

<file path=xl/sharedStrings.xml><?xml version="1.0" encoding="utf-8"?>
<sst xmlns="http://schemas.openxmlformats.org/spreadsheetml/2006/main" count="213" uniqueCount="144">
  <si>
    <t>Параметры сценария,,</t>
  </si>
  <si>
    <t>Наименование сценария</t>
  </si>
  <si>
    <t>Количество поступающих заказов в день, шт.</t>
  </si>
  <si>
    <t>Средняя маржа по заказу, руб.</t>
  </si>
  <si>
    <t>Стоимость доставки, руб.</t>
  </si>
  <si>
    <t>Зарплата Менеджера, руб. в час</t>
  </si>
  <si>
    <t>Зарплата Кладовщика, руб. в месяц</t>
  </si>
  <si>
    <t>Количество Менеджеров, чел.</t>
  </si>
  <si>
    <t>Доходы (Продуктивность)</t>
  </si>
  <si>
    <t>Постоянные издержки</t>
  </si>
  <si>
    <t>Переменные издержки</t>
  </si>
  <si>
    <t>Эффективность</t>
  </si>
  <si>
    <t>Какой Ресурс</t>
  </si>
  <si>
    <t>На какой Операции</t>
  </si>
  <si>
    <t>Выводы</t>
  </si>
  <si>
    <t>1. AS IS</t>
  </si>
  <si>
    <t>Затраты (Себестоимость)</t>
  </si>
  <si>
    <t>Зарплата Курьера, руб. за доставку</t>
  </si>
  <si>
    <t>Транспортные расходы Курьера, руб. за доставку</t>
  </si>
  <si>
    <t>Количество Курьеров, чел.</t>
  </si>
  <si>
    <t>Количество полученных заказов, шт. в месяц</t>
  </si>
  <si>
    <t>Количество успешно исполненных заказов, шт. в месяц</t>
  </si>
  <si>
    <t>Количество отказов покупателей от заказа при получении, шт. в месяц</t>
  </si>
  <si>
    <t>Маржинальная прибыль, руб. в месяц</t>
  </si>
  <si>
    <t>Аренда склада, руб. в месяц</t>
  </si>
  <si>
    <t>Реклама, руб. в месяц</t>
  </si>
  <si>
    <t>Иные постоянные издержки, руб. в месяц</t>
  </si>
  <si>
    <t>Зарплата Менеджеров, руб. в месяц</t>
  </si>
  <si>
    <t>Зарплата Курьеров, руб. в месяц</t>
  </si>
  <si>
    <t>Транспортные расходы Курьеров, руб. в месяц</t>
  </si>
  <si>
    <t>Чистая прибыль, руб. в месяц</t>
  </si>
  <si>
    <t>Чистая прибыль с 1-го заказа, руб.</t>
  </si>
  <si>
    <t>Чистая прибыль с 1-го заказа, % от маржи</t>
  </si>
  <si>
    <t>Себестоимость обработки 1-го заказа, руб.</t>
  </si>
  <si>
    <t>Средняя длительность обработки заказа, мин.</t>
  </si>
  <si>
    <t>Максимальное среднее время ожидания ресурса, мин.</t>
  </si>
  <si>
    <t>Средняя загрузка Менеджера, % от рабочего времени</t>
  </si>
  <si>
    <t>Средняя загрузка Курьера, % от рабочего времени</t>
  </si>
  <si>
    <t>Доля отказов от заказов при получении, % от общего количества заказов</t>
  </si>
  <si>
    <t>Выдача заказа курьеру</t>
  </si>
  <si>
    <t>Курьер</t>
  </si>
  <si>
    <t>2. Усиливаем рекламу</t>
  </si>
  <si>
    <t>3. Плюс 1 курьер</t>
  </si>
  <si>
    <t>4.1 Платная доставка</t>
  </si>
  <si>
    <t>4.2 Предоплата</t>
  </si>
  <si>
    <t>4.3 Плат. дост. + Предоплата</t>
  </si>
  <si>
    <t>1 000 р.</t>
  </si>
  <si>
    <t>0 р.</t>
  </si>
  <si>
    <t>200 р.</t>
  </si>
  <si>
    <t>300 р.</t>
  </si>
  <si>
    <t>30 000 р.</t>
  </si>
  <si>
    <t>50 р.</t>
  </si>
  <si>
    <t>362 000 р.</t>
  </si>
  <si>
    <t>494 000 р.</t>
  </si>
  <si>
    <t>297 000 р.</t>
  </si>
  <si>
    <t>352 000 р.</t>
  </si>
  <si>
    <t/>
  </si>
  <si>
    <t>300</t>
  </si>
  <si>
    <t>900</t>
  </si>
  <si>
    <t>750</t>
  </si>
  <si>
    <t>600</t>
  </si>
  <si>
    <t>115</t>
  </si>
  <si>
    <t>362</t>
  </si>
  <si>
    <t>294</t>
  </si>
  <si>
    <t>297</t>
  </si>
  <si>
    <t>152</t>
  </si>
  <si>
    <t>70</t>
  </si>
  <si>
    <t>190</t>
  </si>
  <si>
    <t>157</t>
  </si>
  <si>
    <t>65</t>
  </si>
  <si>
    <t>115 000 р.</t>
  </si>
  <si>
    <t>366 390 р.</t>
  </si>
  <si>
    <t>319 245 р.</t>
  </si>
  <si>
    <t>287 415 р.</t>
  </si>
  <si>
    <t>200 300 р.</t>
  </si>
  <si>
    <t>110 000 р.</t>
  </si>
  <si>
    <t>10 000 р.</t>
  </si>
  <si>
    <t>50 000 р.</t>
  </si>
  <si>
    <t>20 000 р.</t>
  </si>
  <si>
    <t>256 390 р.</t>
  </si>
  <si>
    <t>209 245 р.</t>
  </si>
  <si>
    <t>177 415 р.</t>
  </si>
  <si>
    <t>90 300 р.</t>
  </si>
  <si>
    <t>35 175 р.</t>
  </si>
  <si>
    <t>104 140 р.</t>
  </si>
  <si>
    <t>85 995 р.</t>
  </si>
  <si>
    <t>78 165 р.</t>
  </si>
  <si>
    <t>39 600 р.</t>
  </si>
  <si>
    <t>40 200 р.</t>
  </si>
  <si>
    <t>121 800 р.</t>
  </si>
  <si>
    <t>98 600 р.</t>
  </si>
  <si>
    <t>79 400 р.</t>
  </si>
  <si>
    <t>10 500 р.</t>
  </si>
  <si>
    <t>30 450 р.</t>
  </si>
  <si>
    <t>24 650 р.</t>
  </si>
  <si>
    <t>19 850 р.</t>
  </si>
  <si>
    <t>-40 875 р.</t>
  </si>
  <si>
    <t>-4 390 р.</t>
  </si>
  <si>
    <t>174 755 р.</t>
  </si>
  <si>
    <t>9 585 р.</t>
  </si>
  <si>
    <t>151 700 р.</t>
  </si>
  <si>
    <t>-136 р.</t>
  </si>
  <si>
    <t>-5 р.</t>
  </si>
  <si>
    <t>233 р.</t>
  </si>
  <si>
    <t>16 р.</t>
  </si>
  <si>
    <t>506 р.</t>
  </si>
  <si>
    <t>-14%</t>
  </si>
  <si>
    <t>0%</t>
  </si>
  <si>
    <t>23%</t>
  </si>
  <si>
    <t>2%</t>
  </si>
  <si>
    <t>51%</t>
  </si>
  <si>
    <t>520 р.</t>
  </si>
  <si>
    <t>407 р.</t>
  </si>
  <si>
    <t>426 р.</t>
  </si>
  <si>
    <t>479 р.</t>
  </si>
  <si>
    <t>668 р.</t>
  </si>
  <si>
    <t>2 ч. 57 мин.</t>
  </si>
  <si>
    <t>1 д. 9 ч. 50 мин.</t>
  </si>
  <si>
    <t>4 ч. 04 мин.</t>
  </si>
  <si>
    <t>3 ч. 05 мин.</t>
  </si>
  <si>
    <t>2 ч. 52 мин.</t>
  </si>
  <si>
    <t>9 мин.</t>
  </si>
  <si>
    <t>6 ч. 37 мин.</t>
  </si>
  <si>
    <t>18 мин.</t>
  </si>
  <si>
    <t>7 мин.</t>
  </si>
  <si>
    <t>2 мин.</t>
  </si>
  <si>
    <t>Менеджер</t>
  </si>
  <si>
    <t>Доставка заказа покупателю</t>
  </si>
  <si>
    <t>Визуальный контроль заказа</t>
  </si>
  <si>
    <t>16</t>
  </si>
  <si>
    <t>48</t>
  </si>
  <si>
    <t>21%</t>
  </si>
  <si>
    <t>27</t>
  </si>
  <si>
    <t>58%</t>
  </si>
  <si>
    <t>42</t>
  </si>
  <si>
    <t>29%</t>
  </si>
  <si>
    <t>23</t>
  </si>
  <si>
    <t>21</t>
  </si>
  <si>
    <t>11%</t>
  </si>
  <si>
    <t>Нехватка курьеров</t>
  </si>
  <si>
    <t>Оптимальный вариант</t>
  </si>
  <si>
    <t>Приемлемый вариант</t>
  </si>
  <si>
    <t>155 875 р.</t>
  </si>
  <si>
    <t>70 000 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</si>
</sst>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3"/>
      <color theme="0"/>
      <name val="Times New Roman"/>
      <family val="1"/>
    </font>
    <font>
      <b/>
      <sz val="13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39997558519241921"/>
        <bgColor theme="9" tint="0.79998168889431442"/>
      </patternFill>
    </fill>
    <fill>
      <patternFill patternType="solid">
        <fgColor theme="5" tint="0.59999389629810485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6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2" fontId="3" fillId="2" borderId="0" xfId="0" applyNumberFormat="1" applyFont="1" applyFill="1" applyAlignment="1">
      <alignment horizontal="center" vertical="center"/>
    </xf>
    <xf numFmtId="2" fontId="4" fillId="2" borderId="0" xfId="0" applyNumberFormat="1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2" fontId="4" fillId="12" borderId="0" xfId="0" applyNumberFormat="1" applyFont="1" applyFill="1" applyAlignment="1">
      <alignment horizontal="center" vertical="center"/>
    </xf>
    <xf numFmtId="0" fontId="4" fillId="12" borderId="2" xfId="0" applyNumberFormat="1" applyFont="1" applyFill="1" applyBorder="1" applyAlignment="1">
      <alignment horizontal="center" vertical="center"/>
    </xf>
    <xf numFmtId="2" fontId="4" fillId="13" borderId="2" xfId="0" applyNumberFormat="1" applyFont="1" applyFill="1" applyBorder="1" applyAlignment="1">
      <alignment horizontal="center" vertical="center"/>
    </xf>
    <xf numFmtId="2" fontId="4" fillId="12" borderId="2" xfId="0" applyNumberFormat="1" applyFont="1" applyFill="1" applyBorder="1" applyAlignment="1">
      <alignment horizontal="center" vertical="center"/>
    </xf>
    <xf numFmtId="0" fontId="4" fillId="13" borderId="2" xfId="0" applyNumberFormat="1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2" fontId="3" fillId="7" borderId="0" xfId="0" applyNumberFormat="1" applyFont="1" applyFill="1" applyAlignment="1">
      <alignment horizontal="center" vertical="center"/>
    </xf>
    <xf numFmtId="2" fontId="4" fillId="10" borderId="2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2" fontId="3" fillId="3" borderId="0" xfId="0" applyNumberFormat="1" applyFont="1" applyFill="1" applyAlignment="1">
      <alignment horizontal="center" vertical="center"/>
    </xf>
    <xf numFmtId="2" fontId="4" fillId="3" borderId="2" xfId="0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2" fontId="3" fillId="4" borderId="0" xfId="0" applyNumberFormat="1" applyFont="1" applyFill="1" applyAlignment="1">
      <alignment horizontal="center" vertical="center"/>
    </xf>
    <xf numFmtId="2" fontId="4" fillId="11" borderId="2" xfId="0" applyNumberFormat="1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2" fontId="3" fillId="9" borderId="0" xfId="0" applyNumberFormat="1" applyFont="1" applyFill="1" applyAlignment="1">
      <alignment horizontal="center" vertical="center"/>
    </xf>
    <xf numFmtId="2" fontId="4" fillId="9" borderId="2" xfId="0" applyNumberFormat="1" applyFont="1" applyFill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2" fontId="3" fillId="8" borderId="0" xfId="0" applyNumberFormat="1" applyFont="1" applyFill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10" fontId="4" fillId="12" borderId="0" xfId="0" applyNumberFormat="1" applyFont="1" applyFill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10" fontId="4" fillId="13" borderId="2" xfId="0" applyNumberFormat="1" applyFont="1" applyFill="1" applyBorder="1" applyAlignment="1">
      <alignment horizontal="center" vertical="center"/>
    </xf>
    <xf numFmtId="10" fontId="4" fillId="12" borderId="2" xfId="0" applyNumberFormat="1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99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B1DEE-575D-40E3-9583-754FD1E1CD55}">
  <sheetPr codeName="Worksheet____1"/>
  <dimension ref="B1:H39"/>
  <sheetViews>
    <sheetView tabSelected="1" workbookViewId="0">
      <selection activeCell="G12" sqref="G12"/>
    </sheetView>
  </sheetViews>
  <sheetFormatPr defaultRowHeight="15" x14ac:dyDescent="0.25"/>
  <cols>
    <col min="1" max="1" width="3.28515625" customWidth="1"/>
    <col min="2" max="2" width="65.140625" customWidth="1"/>
    <col min="3" max="3" width="29.140625" customWidth="1"/>
    <col min="4" max="4" width="38" customWidth="1"/>
    <col min="5" max="5" width="25.5703125" customWidth="1"/>
    <col min="6" max="6" width="33.42578125" customWidth="1"/>
    <col min="7" max="7" width="24.42578125" customWidth="1"/>
    <col min="8" max="8" width="35.85546875" customWidth="1"/>
  </cols>
  <sheetData>
    <row r="1" spans="2:8" ht="16.5" x14ac:dyDescent="0.25">
      <c r="B1" s="1" t="s">
        <v>1</v>
      </c>
      <c r="C1" s="1" t="s">
        <v>15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</row>
    <row r="2" spans="2:8" ht="16.5" x14ac:dyDescent="0.25">
      <c r="B2" s="3" t="s">
        <v>0</v>
      </c>
      <c r="C2" s="4"/>
      <c r="D2" s="5"/>
      <c r="E2" s="5"/>
      <c r="F2" s="5"/>
      <c r="G2" s="5"/>
      <c r="H2" s="5"/>
    </row>
    <row r="3" spans="2:8" ht="16.5" x14ac:dyDescent="0.25">
      <c r="B3" s="6" t="s">
        <v>2</v>
      </c>
      <c r="C3" s="7">
        <v>10</v>
      </c>
      <c r="D3" s="8">
        <v>10</v>
      </c>
      <c r="E3" s="8">
        <v>30</v>
      </c>
      <c r="F3" s="8">
        <v>25</v>
      </c>
      <c r="G3" s="8">
        <v>20</v>
      </c>
      <c r="H3" s="8">
        <v>10</v>
      </c>
    </row>
    <row r="4" spans="2:8" ht="16.5" x14ac:dyDescent="0.25">
      <c r="B4" s="6" t="s">
        <v>3</v>
      </c>
      <c r="C4" s="7">
        <v>1000</v>
      </c>
      <c r="D4" s="9" t="s">
        <v>46</v>
      </c>
      <c r="E4" s="9" t="s">
        <v>46</v>
      </c>
      <c r="F4" s="9" t="s">
        <v>46</v>
      </c>
      <c r="G4" s="9" t="s">
        <v>46</v>
      </c>
      <c r="H4" s="9" t="s">
        <v>46</v>
      </c>
    </row>
    <row r="5" spans="2:8" ht="16.5" x14ac:dyDescent="0.25">
      <c r="B5" s="6" t="s">
        <v>4</v>
      </c>
      <c r="C5" s="7">
        <v>0</v>
      </c>
      <c r="D5" s="10" t="s">
        <v>47</v>
      </c>
      <c r="E5" s="10" t="s">
        <v>47</v>
      </c>
      <c r="F5" s="10" t="s">
        <v>48</v>
      </c>
      <c r="G5" s="10" t="s">
        <v>47</v>
      </c>
      <c r="H5" s="10" t="s">
        <v>48</v>
      </c>
    </row>
    <row r="6" spans="2:8" ht="16.5" x14ac:dyDescent="0.25">
      <c r="B6" s="6" t="s">
        <v>5</v>
      </c>
      <c r="C6" s="7">
        <v>300</v>
      </c>
      <c r="D6" s="9" t="s">
        <v>49</v>
      </c>
      <c r="E6" s="9" t="s">
        <v>49</v>
      </c>
      <c r="F6" s="9" t="s">
        <v>49</v>
      </c>
      <c r="G6" s="9" t="s">
        <v>49</v>
      </c>
      <c r="H6" s="9" t="s">
        <v>49</v>
      </c>
    </row>
    <row r="7" spans="2:8" ht="16.5" x14ac:dyDescent="0.25">
      <c r="B7" s="6" t="s">
        <v>6</v>
      </c>
      <c r="C7" s="7">
        <v>30000</v>
      </c>
      <c r="D7" s="10" t="s">
        <v>50</v>
      </c>
      <c r="E7" s="10" t="s">
        <v>50</v>
      </c>
      <c r="F7" s="10" t="s">
        <v>50</v>
      </c>
      <c r="G7" s="10" t="s">
        <v>50</v>
      </c>
      <c r="H7" s="10" t="s">
        <v>50</v>
      </c>
    </row>
    <row r="8" spans="2:8" ht="16.5" x14ac:dyDescent="0.25">
      <c r="B8" s="6" t="s">
        <v>17</v>
      </c>
      <c r="C8" s="7">
        <v>200</v>
      </c>
      <c r="D8" s="9" t="s">
        <v>48</v>
      </c>
      <c r="E8" s="9" t="s">
        <v>48</v>
      </c>
      <c r="F8" s="9" t="s">
        <v>48</v>
      </c>
      <c r="G8" s="9" t="s">
        <v>48</v>
      </c>
      <c r="H8" s="9" t="s">
        <v>48</v>
      </c>
    </row>
    <row r="9" spans="2:8" ht="16.5" x14ac:dyDescent="0.25">
      <c r="B9" s="6" t="s">
        <v>18</v>
      </c>
      <c r="C9" s="7">
        <v>50</v>
      </c>
      <c r="D9" s="10" t="s">
        <v>51</v>
      </c>
      <c r="E9" s="10" t="s">
        <v>51</v>
      </c>
      <c r="F9" s="10" t="s">
        <v>51</v>
      </c>
      <c r="G9" s="10" t="s">
        <v>51</v>
      </c>
      <c r="H9" s="10" t="s">
        <v>51</v>
      </c>
    </row>
    <row r="10" spans="2:8" ht="16.5" x14ac:dyDescent="0.25">
      <c r="B10" s="6" t="s">
        <v>7</v>
      </c>
      <c r="C10" s="7">
        <v>1</v>
      </c>
      <c r="D10" s="11">
        <v>1</v>
      </c>
      <c r="E10" s="9">
        <v>1</v>
      </c>
      <c r="F10" s="11">
        <v>1</v>
      </c>
      <c r="G10" s="9">
        <v>1</v>
      </c>
      <c r="H10" s="9">
        <v>1</v>
      </c>
    </row>
    <row r="11" spans="2:8" ht="16.5" x14ac:dyDescent="0.25">
      <c r="B11" s="6" t="s">
        <v>19</v>
      </c>
      <c r="C11" s="7">
        <v>1</v>
      </c>
      <c r="D11" s="8">
        <v>1</v>
      </c>
      <c r="E11" s="8">
        <v>2</v>
      </c>
      <c r="F11" s="8">
        <v>2</v>
      </c>
      <c r="G11" s="8">
        <v>2</v>
      </c>
      <c r="H11" s="8">
        <v>2</v>
      </c>
    </row>
    <row r="12" spans="2:8" ht="16.5" x14ac:dyDescent="0.25">
      <c r="B12" s="12" t="s">
        <v>8</v>
      </c>
      <c r="C12" s="13">
        <v>115000</v>
      </c>
      <c r="D12" s="14" t="s">
        <v>70</v>
      </c>
      <c r="E12" s="14" t="s">
        <v>52</v>
      </c>
      <c r="F12" s="14" t="s">
        <v>53</v>
      </c>
      <c r="G12" s="14" t="s">
        <v>54</v>
      </c>
      <c r="H12" s="14" t="s">
        <v>55</v>
      </c>
    </row>
    <row r="13" spans="2:8" ht="16.5" x14ac:dyDescent="0.25">
      <c r="B13" s="6" t="s">
        <v>20</v>
      </c>
      <c r="C13" s="7">
        <v>300</v>
      </c>
      <c r="D13" s="10" t="s">
        <v>57</v>
      </c>
      <c r="E13" s="10" t="s">
        <v>58</v>
      </c>
      <c r="F13" s="10" t="s">
        <v>59</v>
      </c>
      <c r="G13" s="10" t="s">
        <v>60</v>
      </c>
      <c r="H13" s="10" t="s">
        <v>57</v>
      </c>
    </row>
    <row r="14" spans="2:8" ht="16.5" x14ac:dyDescent="0.25">
      <c r="B14" s="6" t="s">
        <v>21</v>
      </c>
      <c r="C14" s="7">
        <v>143</v>
      </c>
      <c r="D14" s="9" t="s">
        <v>61</v>
      </c>
      <c r="E14" s="9" t="s">
        <v>62</v>
      </c>
      <c r="F14" s="9" t="s">
        <v>63</v>
      </c>
      <c r="G14" s="9" t="s">
        <v>64</v>
      </c>
      <c r="H14" s="9" t="s">
        <v>65</v>
      </c>
    </row>
    <row r="15" spans="2:8" ht="16.5" x14ac:dyDescent="0.25">
      <c r="B15" s="6" t="s">
        <v>22</v>
      </c>
      <c r="C15" s="7">
        <v>157</v>
      </c>
      <c r="D15" s="10" t="s">
        <v>66</v>
      </c>
      <c r="E15" s="10" t="s">
        <v>67</v>
      </c>
      <c r="F15" s="10" t="s">
        <v>68</v>
      </c>
      <c r="G15" s="10" t="s">
        <v>69</v>
      </c>
      <c r="H15" s="10">
        <v>33</v>
      </c>
    </row>
    <row r="16" spans="2:8" ht="16.5" x14ac:dyDescent="0.25">
      <c r="B16" s="6" t="s">
        <v>23</v>
      </c>
      <c r="C16" s="7">
        <f>C4*(C14+C5)</f>
        <v>143000</v>
      </c>
      <c r="D16" s="9" t="s">
        <v>70</v>
      </c>
      <c r="E16" s="9" t="s">
        <v>52</v>
      </c>
      <c r="F16" s="9" t="s">
        <v>53</v>
      </c>
      <c r="G16" s="9" t="s">
        <v>54</v>
      </c>
      <c r="H16" s="9" t="s">
        <v>55</v>
      </c>
    </row>
    <row r="17" spans="2:8" ht="16.5" x14ac:dyDescent="0.25">
      <c r="B17" s="15" t="s">
        <v>16</v>
      </c>
      <c r="C17" s="16">
        <f>C18+C19+C20+C21+C22+C23</f>
        <v>253188</v>
      </c>
      <c r="D17" s="17" t="s">
        <v>142</v>
      </c>
      <c r="E17" s="17" t="s">
        <v>71</v>
      </c>
      <c r="F17" s="17" t="s">
        <v>72</v>
      </c>
      <c r="G17" s="17" t="s">
        <v>73</v>
      </c>
      <c r="H17" s="17" t="s">
        <v>74</v>
      </c>
    </row>
    <row r="18" spans="2:8" ht="16.5" x14ac:dyDescent="0.25">
      <c r="B18" s="18" t="s">
        <v>9</v>
      </c>
      <c r="C18" s="19">
        <v>70000</v>
      </c>
      <c r="D18" s="20" t="s">
        <v>143</v>
      </c>
      <c r="E18" s="20" t="s">
        <v>75</v>
      </c>
      <c r="F18" s="20" t="s">
        <v>75</v>
      </c>
      <c r="G18" s="20" t="s">
        <v>75</v>
      </c>
      <c r="H18" s="20" t="s">
        <v>75</v>
      </c>
    </row>
    <row r="19" spans="2:8" ht="16.5" x14ac:dyDescent="0.25">
      <c r="B19" s="6" t="s">
        <v>6</v>
      </c>
      <c r="C19" s="7">
        <v>30000</v>
      </c>
      <c r="D19" s="10" t="s">
        <v>50</v>
      </c>
      <c r="E19" s="10" t="s">
        <v>50</v>
      </c>
      <c r="F19" s="10" t="s">
        <v>50</v>
      </c>
      <c r="G19" s="10" t="s">
        <v>50</v>
      </c>
      <c r="H19" s="10" t="s">
        <v>50</v>
      </c>
    </row>
    <row r="20" spans="2:8" ht="16.5" x14ac:dyDescent="0.25">
      <c r="B20" s="6" t="s">
        <v>24</v>
      </c>
      <c r="C20" s="7">
        <v>10000</v>
      </c>
      <c r="D20" s="9" t="s">
        <v>76</v>
      </c>
      <c r="E20" s="9" t="s">
        <v>76</v>
      </c>
      <c r="F20" s="9" t="s">
        <v>76</v>
      </c>
      <c r="G20" s="9" t="s">
        <v>76</v>
      </c>
      <c r="H20" s="9" t="s">
        <v>76</v>
      </c>
    </row>
    <row r="21" spans="2:8" ht="16.5" x14ac:dyDescent="0.25">
      <c r="B21" s="6" t="s">
        <v>25</v>
      </c>
      <c r="C21" s="7">
        <v>10000</v>
      </c>
      <c r="D21" s="10" t="s">
        <v>76</v>
      </c>
      <c r="E21" s="10" t="s">
        <v>77</v>
      </c>
      <c r="F21" s="10" t="s">
        <v>77</v>
      </c>
      <c r="G21" s="10" t="s">
        <v>77</v>
      </c>
      <c r="H21" s="10" t="s">
        <v>77</v>
      </c>
    </row>
    <row r="22" spans="2:8" ht="16.5" x14ac:dyDescent="0.25">
      <c r="B22" s="6" t="s">
        <v>26</v>
      </c>
      <c r="C22" s="7">
        <v>20000</v>
      </c>
      <c r="D22" s="9" t="s">
        <v>78</v>
      </c>
      <c r="E22" s="9" t="s">
        <v>78</v>
      </c>
      <c r="F22" s="9" t="s">
        <v>78</v>
      </c>
      <c r="G22" s="9" t="s">
        <v>78</v>
      </c>
      <c r="H22" s="9" t="s">
        <v>78</v>
      </c>
    </row>
    <row r="23" spans="2:8" ht="16.5" x14ac:dyDescent="0.25">
      <c r="B23" s="21" t="s">
        <v>10</v>
      </c>
      <c r="C23" s="22">
        <f>C24+C25+C26</f>
        <v>113188</v>
      </c>
      <c r="D23" s="23" t="s">
        <v>79</v>
      </c>
      <c r="E23" s="23" t="s">
        <v>80</v>
      </c>
      <c r="F23" s="23" t="s">
        <v>81</v>
      </c>
      <c r="G23" s="23" t="s">
        <v>82</v>
      </c>
      <c r="H23" s="23" t="s">
        <v>56</v>
      </c>
    </row>
    <row r="24" spans="2:8" ht="16.5" x14ac:dyDescent="0.25">
      <c r="B24" s="6" t="s">
        <v>27</v>
      </c>
      <c r="C24" s="7">
        <v>45123</v>
      </c>
      <c r="D24" s="9" t="s">
        <v>83</v>
      </c>
      <c r="E24" s="9" t="s">
        <v>84</v>
      </c>
      <c r="F24" s="9" t="s">
        <v>85</v>
      </c>
      <c r="G24" s="9" t="s">
        <v>86</v>
      </c>
      <c r="H24" s="9" t="s">
        <v>87</v>
      </c>
    </row>
    <row r="25" spans="2:8" ht="16.5" x14ac:dyDescent="0.25">
      <c r="B25" s="6" t="s">
        <v>28</v>
      </c>
      <c r="C25" s="7">
        <v>55610</v>
      </c>
      <c r="D25" s="10" t="s">
        <v>88</v>
      </c>
      <c r="E25" s="10" t="s">
        <v>89</v>
      </c>
      <c r="F25" s="10" t="s">
        <v>90</v>
      </c>
      <c r="G25" s="10" t="s">
        <v>91</v>
      </c>
      <c r="H25" s="10" t="s">
        <v>88</v>
      </c>
    </row>
    <row r="26" spans="2:8" ht="16.5" x14ac:dyDescent="0.25">
      <c r="B26" s="6" t="s">
        <v>29</v>
      </c>
      <c r="C26" s="7">
        <v>12455</v>
      </c>
      <c r="D26" s="9" t="s">
        <v>92</v>
      </c>
      <c r="E26" s="9" t="s">
        <v>93</v>
      </c>
      <c r="F26" s="9" t="s">
        <v>94</v>
      </c>
      <c r="G26" s="9" t="s">
        <v>95</v>
      </c>
      <c r="H26" s="9" t="s">
        <v>92</v>
      </c>
    </row>
    <row r="27" spans="2:8" ht="16.5" x14ac:dyDescent="0.25">
      <c r="B27" s="24" t="s">
        <v>11</v>
      </c>
      <c r="C27" s="25"/>
      <c r="D27" s="26" t="s">
        <v>56</v>
      </c>
      <c r="E27" s="26" t="s">
        <v>56</v>
      </c>
      <c r="F27" s="26" t="s">
        <v>56</v>
      </c>
      <c r="G27" s="26" t="s">
        <v>56</v>
      </c>
      <c r="H27" s="26" t="s">
        <v>56</v>
      </c>
    </row>
    <row r="28" spans="2:8" ht="16.5" x14ac:dyDescent="0.25">
      <c r="B28" s="6" t="s">
        <v>30</v>
      </c>
      <c r="C28" s="7">
        <f>C12-C17</f>
        <v>-138188</v>
      </c>
      <c r="D28" s="9" t="s">
        <v>96</v>
      </c>
      <c r="E28" s="9" t="s">
        <v>97</v>
      </c>
      <c r="F28" s="9" t="s">
        <v>98</v>
      </c>
      <c r="G28" s="9" t="s">
        <v>99</v>
      </c>
      <c r="H28" s="9" t="s">
        <v>100</v>
      </c>
    </row>
    <row r="29" spans="2:8" ht="16.5" x14ac:dyDescent="0.25">
      <c r="B29" s="6" t="s">
        <v>31</v>
      </c>
      <c r="C29" s="7">
        <f>C28/C13</f>
        <v>-460.62666666666667</v>
      </c>
      <c r="D29" s="10" t="s">
        <v>101</v>
      </c>
      <c r="E29" s="10" t="s">
        <v>102</v>
      </c>
      <c r="F29" s="10" t="s">
        <v>103</v>
      </c>
      <c r="G29" s="10" t="s">
        <v>104</v>
      </c>
      <c r="H29" s="10" t="s">
        <v>105</v>
      </c>
    </row>
    <row r="30" spans="2:8" ht="16.5" x14ac:dyDescent="0.25">
      <c r="B30" s="6" t="s">
        <v>32</v>
      </c>
      <c r="C30" s="27">
        <f>C29/C4</f>
        <v>-0.46062666666666668</v>
      </c>
      <c r="D30" s="28" t="s">
        <v>106</v>
      </c>
      <c r="E30" s="28" t="s">
        <v>107</v>
      </c>
      <c r="F30" s="28" t="s">
        <v>108</v>
      </c>
      <c r="G30" s="28" t="s">
        <v>109</v>
      </c>
      <c r="H30" s="28" t="s">
        <v>110</v>
      </c>
    </row>
    <row r="31" spans="2:8" ht="16.5" x14ac:dyDescent="0.25">
      <c r="B31" s="6" t="s">
        <v>33</v>
      </c>
      <c r="C31" s="6">
        <f>C17/C13</f>
        <v>843.96</v>
      </c>
      <c r="D31" s="29" t="s">
        <v>111</v>
      </c>
      <c r="E31" s="29" t="s">
        <v>112</v>
      </c>
      <c r="F31" s="29" t="s">
        <v>113</v>
      </c>
      <c r="G31" s="29" t="s">
        <v>114</v>
      </c>
      <c r="H31" s="29" t="s">
        <v>115</v>
      </c>
    </row>
    <row r="32" spans="2:8" ht="16.5" x14ac:dyDescent="0.25">
      <c r="B32" s="6" t="s">
        <v>34</v>
      </c>
      <c r="C32" s="6">
        <v>8834</v>
      </c>
      <c r="D32" s="28" t="s">
        <v>116</v>
      </c>
      <c r="E32" s="28" t="s">
        <v>117</v>
      </c>
      <c r="F32" s="28" t="s">
        <v>118</v>
      </c>
      <c r="G32" s="28" t="s">
        <v>119</v>
      </c>
      <c r="H32" s="28" t="s">
        <v>120</v>
      </c>
    </row>
    <row r="33" spans="2:8" ht="16.5" x14ac:dyDescent="0.25">
      <c r="B33" s="6" t="s">
        <v>35</v>
      </c>
      <c r="C33" s="6">
        <v>22460</v>
      </c>
      <c r="D33" s="29" t="s">
        <v>121</v>
      </c>
      <c r="E33" s="29" t="s">
        <v>122</v>
      </c>
      <c r="F33" s="29" t="s">
        <v>123</v>
      </c>
      <c r="G33" s="29" t="s">
        <v>124</v>
      </c>
      <c r="H33" s="29" t="s">
        <v>125</v>
      </c>
    </row>
    <row r="34" spans="2:8" ht="16.5" x14ac:dyDescent="0.25">
      <c r="B34" s="6" t="s">
        <v>12</v>
      </c>
      <c r="C34" s="6" t="s">
        <v>40</v>
      </c>
      <c r="D34" s="28" t="s">
        <v>40</v>
      </c>
      <c r="E34" s="28" t="s">
        <v>40</v>
      </c>
      <c r="F34" s="28" t="s">
        <v>126</v>
      </c>
      <c r="G34" s="28" t="s">
        <v>126</v>
      </c>
      <c r="H34" s="28" t="s">
        <v>56</v>
      </c>
    </row>
    <row r="35" spans="2:8" ht="16.5" x14ac:dyDescent="0.25">
      <c r="B35" s="6" t="s">
        <v>13</v>
      </c>
      <c r="C35" s="6" t="s">
        <v>39</v>
      </c>
      <c r="D35" s="29" t="s">
        <v>127</v>
      </c>
      <c r="E35" s="29" t="s">
        <v>127</v>
      </c>
      <c r="F35" s="29" t="s">
        <v>128</v>
      </c>
      <c r="G35" s="29" t="s">
        <v>39</v>
      </c>
      <c r="H35" s="29" t="s">
        <v>56</v>
      </c>
    </row>
    <row r="36" spans="2:8" ht="16.5" x14ac:dyDescent="0.25">
      <c r="B36" s="6" t="s">
        <v>36</v>
      </c>
      <c r="C36" s="27">
        <v>0.23</v>
      </c>
      <c r="D36" s="28" t="s">
        <v>129</v>
      </c>
      <c r="E36" s="30">
        <v>0.48</v>
      </c>
      <c r="F36" s="28" t="s">
        <v>131</v>
      </c>
      <c r="G36" s="28" t="s">
        <v>130</v>
      </c>
      <c r="H36" s="28" t="s">
        <v>131</v>
      </c>
    </row>
    <row r="37" spans="2:8" ht="16.5" x14ac:dyDescent="0.25">
      <c r="B37" s="6" t="s">
        <v>37</v>
      </c>
      <c r="C37" s="27">
        <v>0.32</v>
      </c>
      <c r="D37" s="29" t="s">
        <v>132</v>
      </c>
      <c r="E37" s="31">
        <v>0.84</v>
      </c>
      <c r="F37" s="29" t="s">
        <v>133</v>
      </c>
      <c r="G37" s="29" t="s">
        <v>134</v>
      </c>
      <c r="H37" s="29" t="s">
        <v>135</v>
      </c>
    </row>
    <row r="38" spans="2:8" ht="16.5" x14ac:dyDescent="0.25">
      <c r="B38" s="6" t="s">
        <v>38</v>
      </c>
      <c r="C38" s="27">
        <v>0.28000000000000003</v>
      </c>
      <c r="D38" s="28" t="s">
        <v>136</v>
      </c>
      <c r="E38" s="30">
        <v>0.21</v>
      </c>
      <c r="F38" s="28" t="s">
        <v>138</v>
      </c>
      <c r="G38" s="28" t="s">
        <v>137</v>
      </c>
      <c r="H38" s="28" t="s">
        <v>138</v>
      </c>
    </row>
    <row r="39" spans="2:8" ht="16.5" x14ac:dyDescent="0.25">
      <c r="B39" s="32" t="s">
        <v>14</v>
      </c>
      <c r="C39" s="32"/>
      <c r="D39" s="33" t="s">
        <v>139</v>
      </c>
      <c r="E39" s="33" t="s">
        <v>140</v>
      </c>
      <c r="F39" s="33" t="s">
        <v>140</v>
      </c>
      <c r="G39" s="33" t="s">
        <v>141</v>
      </c>
      <c r="H39" s="33" t="s">
        <v>56</v>
      </c>
    </row>
  </sheetData>
  <pageMargins left="0.7" right="0.7" top="0.75" bottom="0.75" header="0.3" footer="0.3"/>
  <ignoredErrors>
    <ignoredError sqref="H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Morozova</dc:creator>
  <cp:lastModifiedBy>Даниил Аннануров</cp:lastModifiedBy>
  <dcterms:created xsi:type="dcterms:W3CDTF">2025-05-11T20:57:36Z</dcterms:created>
  <dcterms:modified xsi:type="dcterms:W3CDTF">2025-05-19T17:14:17Z</dcterms:modified>
</cp:coreProperties>
</file>