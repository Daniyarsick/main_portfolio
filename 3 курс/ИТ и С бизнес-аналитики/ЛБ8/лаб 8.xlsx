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0751DD4-47A5-4874-9A18-C91AEE29D6FA}" xr6:coauthVersionLast="47" xr6:coauthVersionMax="47" xr10:uidLastSave="{00000000-0000-0000-0000-000000000000}"/>
  <bookViews>
    <workbookView xWindow="-120" yWindow="-120" windowWidth="29040" windowHeight="15720" xr2:uid="{31CF88A1-9F97-4053-85D2-385B893F29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C28" i="1" s="1"/>
  <c r="C29" i="1" s="1"/>
  <c r="C30" i="1" s="1"/>
  <c r="C23" i="1"/>
  <c r="C31" i="1"/>
  <c r="C16" i="1"/>
</calcChain>
</file>

<file path=xl/sharedStrings.xml><?xml version="1.0" encoding="utf-8"?>
<sst xmlns="http://schemas.openxmlformats.org/spreadsheetml/2006/main" count="42" uniqueCount="41">
  <si>
    <t>Параметры сценария,,</t>
  </si>
  <si>
    <t>Наименование сценария</t>
  </si>
  <si>
    <t>Количество поступающих заказов в день, шт.</t>
  </si>
  <si>
    <t>Средняя маржа по заказу, руб.</t>
  </si>
  <si>
    <t>Стоимость доставки, руб.</t>
  </si>
  <si>
    <t>Зарплата Менеджера, руб. в час</t>
  </si>
  <si>
    <t>Зарплата Кладовщика, руб. в месяц</t>
  </si>
  <si>
    <t>Количество Менеджеров, чел.</t>
  </si>
  <si>
    <t>Доходы (Продуктивность)</t>
  </si>
  <si>
    <t>Постоянные издержки</t>
  </si>
  <si>
    <t>Переменные издержки</t>
  </si>
  <si>
    <t>Эффективность</t>
  </si>
  <si>
    <t>Какой Ресурс</t>
  </si>
  <si>
    <t>На какой Операции</t>
  </si>
  <si>
    <t>Выводы</t>
  </si>
  <si>
    <t>1. AS IS</t>
  </si>
  <si>
    <t>Затраты (Себестоимость)</t>
  </si>
  <si>
    <t>Зарплата Курьера, руб. за доставку</t>
  </si>
  <si>
    <t>Транспортные расходы Курьера, руб. за доставку</t>
  </si>
  <si>
    <t>Количество Курьеров, чел.</t>
  </si>
  <si>
    <t>Количество полученных заказов, шт. в месяц</t>
  </si>
  <si>
    <t>Количество успешно исполненных заказов, шт. в месяц</t>
  </si>
  <si>
    <t>Количество отказов покупателей от заказа при получении, шт. в месяц</t>
  </si>
  <si>
    <t>Маржинальная прибыль, руб. в месяц</t>
  </si>
  <si>
    <t>Аренда склада, руб. в месяц</t>
  </si>
  <si>
    <t>Реклама, руб. в месяц</t>
  </si>
  <si>
    <t>Иные постоянные издержки, руб. в месяц</t>
  </si>
  <si>
    <t>Зарплата Менеджеров, руб. в месяц</t>
  </si>
  <si>
    <t>Зарплата Курьеров, руб. в месяц</t>
  </si>
  <si>
    <t>Транспортные расходы Курьеров, руб. в месяц</t>
  </si>
  <si>
    <t>Чистая прибыль, руб. в месяц</t>
  </si>
  <si>
    <t>Чистая прибыль с 1-го заказа, руб.</t>
  </si>
  <si>
    <t>Чистая прибыль с 1-го заказа, % от маржи</t>
  </si>
  <si>
    <t>Себестоимость обработки 1-го заказа, руб.</t>
  </si>
  <si>
    <t>Средняя длительность обработки заказа, мин.</t>
  </si>
  <si>
    <t>Максимальное среднее время ожидания ресурса, мин.</t>
  </si>
  <si>
    <t>Средняя загрузка Менеджера, % от рабочего времени</t>
  </si>
  <si>
    <t>Средняя загрузка Курьера, % от рабочего времени</t>
  </si>
  <si>
    <t>Доля отказов от заказов при получении, % от общего количества заказов</t>
  </si>
  <si>
    <t>Выдача заказа курьеру</t>
  </si>
  <si>
    <t>Курьер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</si>
</sst>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3" fontId="1" fillId="8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3" fontId="1" fillId="4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6" borderId="0" xfId="0" applyNumberForma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1DEE-575D-40E3-9583-754FD1E1CD55}">
  <dimension ref="B1:C39"/>
  <sheetViews>
    <sheetView tabSelected="1" topLeftCell="A6" workbookViewId="0">
      <selection activeCell="F14" sqref="F14"/>
    </sheetView>
  </sheetViews>
  <sheetFormatPr defaultRowHeight="15" x14ac:dyDescent="0.25"/>
  <cols>
    <col min="1" max="1" width="3.28515625" customWidth="1"/>
    <col min="2" max="2" width="65.140625" customWidth="1"/>
    <col min="3" max="3" width="29.140625" customWidth="1"/>
  </cols>
  <sheetData>
    <row r="1" spans="2:3" ht="21" x14ac:dyDescent="0.25">
      <c r="B1" s="1" t="s">
        <v>1</v>
      </c>
      <c r="C1" s="1" t="s">
        <v>15</v>
      </c>
    </row>
    <row r="2" spans="2:3" x14ac:dyDescent="0.25">
      <c r="B2" s="2" t="s">
        <v>0</v>
      </c>
      <c r="C2" s="2"/>
    </row>
    <row r="3" spans="2:3" x14ac:dyDescent="0.25">
      <c r="B3" s="3" t="s">
        <v>2</v>
      </c>
      <c r="C3" s="3">
        <v>10</v>
      </c>
    </row>
    <row r="4" spans="2:3" x14ac:dyDescent="0.25">
      <c r="B4" s="3" t="s">
        <v>3</v>
      </c>
      <c r="C4" s="4">
        <v>1000</v>
      </c>
    </row>
    <row r="5" spans="2:3" x14ac:dyDescent="0.25">
      <c r="B5" s="3" t="s">
        <v>4</v>
      </c>
      <c r="C5" s="3">
        <v>0</v>
      </c>
    </row>
    <row r="6" spans="2:3" x14ac:dyDescent="0.25">
      <c r="B6" s="3" t="s">
        <v>5</v>
      </c>
      <c r="C6" s="3">
        <v>300</v>
      </c>
    </row>
    <row r="7" spans="2:3" x14ac:dyDescent="0.25">
      <c r="B7" s="3" t="s">
        <v>6</v>
      </c>
      <c r="C7" s="4">
        <v>30000</v>
      </c>
    </row>
    <row r="8" spans="2:3" x14ac:dyDescent="0.25">
      <c r="B8" s="3" t="s">
        <v>17</v>
      </c>
      <c r="C8" s="3">
        <v>200</v>
      </c>
    </row>
    <row r="9" spans="2:3" x14ac:dyDescent="0.25">
      <c r="B9" s="3" t="s">
        <v>18</v>
      </c>
      <c r="C9" s="3">
        <v>50</v>
      </c>
    </row>
    <row r="10" spans="2:3" x14ac:dyDescent="0.25">
      <c r="B10" s="3" t="s">
        <v>7</v>
      </c>
      <c r="C10" s="3">
        <v>1</v>
      </c>
    </row>
    <row r="11" spans="2:3" x14ac:dyDescent="0.25">
      <c r="B11" s="3" t="s">
        <v>19</v>
      </c>
      <c r="C11" s="3">
        <v>1</v>
      </c>
    </row>
    <row r="12" spans="2:3" x14ac:dyDescent="0.25">
      <c r="B12" s="5" t="s">
        <v>8</v>
      </c>
      <c r="C12" s="6">
        <v>115000</v>
      </c>
    </row>
    <row r="13" spans="2:3" x14ac:dyDescent="0.25">
      <c r="B13" s="3" t="s">
        <v>20</v>
      </c>
      <c r="C13" s="3">
        <v>300</v>
      </c>
    </row>
    <row r="14" spans="2:3" x14ac:dyDescent="0.25">
      <c r="B14" s="3" t="s">
        <v>21</v>
      </c>
      <c r="C14" s="3">
        <v>143</v>
      </c>
    </row>
    <row r="15" spans="2:3" x14ac:dyDescent="0.25">
      <c r="B15" s="3" t="s">
        <v>22</v>
      </c>
      <c r="C15" s="3">
        <v>157</v>
      </c>
    </row>
    <row r="16" spans="2:3" x14ac:dyDescent="0.25">
      <c r="B16" s="3" t="s">
        <v>23</v>
      </c>
      <c r="C16" s="3">
        <f>C4*(C14+C5)</f>
        <v>143000</v>
      </c>
    </row>
    <row r="17" spans="2:3" x14ac:dyDescent="0.25">
      <c r="B17" s="7" t="s">
        <v>16</v>
      </c>
      <c r="C17" s="8">
        <f>C18+C19+C20+C21+C22+C23</f>
        <v>253188</v>
      </c>
    </row>
    <row r="18" spans="2:3" x14ac:dyDescent="0.25">
      <c r="B18" s="9" t="s">
        <v>9</v>
      </c>
      <c r="C18" s="10">
        <v>70000</v>
      </c>
    </row>
    <row r="19" spans="2:3" x14ac:dyDescent="0.25">
      <c r="B19" s="3" t="s">
        <v>6</v>
      </c>
      <c r="C19" s="4">
        <v>30000</v>
      </c>
    </row>
    <row r="20" spans="2:3" x14ac:dyDescent="0.25">
      <c r="B20" s="3" t="s">
        <v>24</v>
      </c>
      <c r="C20" s="4">
        <v>10000</v>
      </c>
    </row>
    <row r="21" spans="2:3" x14ac:dyDescent="0.25">
      <c r="B21" s="3" t="s">
        <v>25</v>
      </c>
      <c r="C21" s="4">
        <v>10000</v>
      </c>
    </row>
    <row r="22" spans="2:3" x14ac:dyDescent="0.25">
      <c r="B22" s="3" t="s">
        <v>26</v>
      </c>
      <c r="C22" s="4">
        <v>20000</v>
      </c>
    </row>
    <row r="23" spans="2:3" x14ac:dyDescent="0.25">
      <c r="B23" s="11" t="s">
        <v>10</v>
      </c>
      <c r="C23" s="11">
        <f>C24+C25+C26</f>
        <v>113188</v>
      </c>
    </row>
    <row r="24" spans="2:3" x14ac:dyDescent="0.25">
      <c r="B24" s="3" t="s">
        <v>27</v>
      </c>
      <c r="C24" s="12">
        <v>45123</v>
      </c>
    </row>
    <row r="25" spans="2:3" x14ac:dyDescent="0.25">
      <c r="B25" s="3" t="s">
        <v>28</v>
      </c>
      <c r="C25" s="12">
        <v>55610</v>
      </c>
    </row>
    <row r="26" spans="2:3" x14ac:dyDescent="0.25">
      <c r="B26" s="3" t="s">
        <v>29</v>
      </c>
      <c r="C26" s="12">
        <v>12455</v>
      </c>
    </row>
    <row r="27" spans="2:3" x14ac:dyDescent="0.25">
      <c r="B27" s="13" t="s">
        <v>11</v>
      </c>
      <c r="C27" s="13"/>
    </row>
    <row r="28" spans="2:3" x14ac:dyDescent="0.25">
      <c r="B28" s="3" t="s">
        <v>30</v>
      </c>
      <c r="C28" s="4">
        <f>C12-C17</f>
        <v>-138188</v>
      </c>
    </row>
    <row r="29" spans="2:3" x14ac:dyDescent="0.25">
      <c r="B29" s="3" t="s">
        <v>31</v>
      </c>
      <c r="C29" s="3">
        <f>C28/C13</f>
        <v>-460.62666666666667</v>
      </c>
    </row>
    <row r="30" spans="2:3" x14ac:dyDescent="0.25">
      <c r="B30" s="3" t="s">
        <v>32</v>
      </c>
      <c r="C30" s="14">
        <f>C29/C4</f>
        <v>-0.46062666666666668</v>
      </c>
    </row>
    <row r="31" spans="2:3" x14ac:dyDescent="0.25">
      <c r="B31" s="3" t="s">
        <v>33</v>
      </c>
      <c r="C31" s="3">
        <f>C17/C13</f>
        <v>843.96</v>
      </c>
    </row>
    <row r="32" spans="2:3" x14ac:dyDescent="0.25">
      <c r="B32" s="3" t="s">
        <v>34</v>
      </c>
      <c r="C32" s="12">
        <v>8834</v>
      </c>
    </row>
    <row r="33" spans="2:3" x14ac:dyDescent="0.25">
      <c r="B33" s="3" t="s">
        <v>35</v>
      </c>
      <c r="C33" s="12">
        <v>22460</v>
      </c>
    </row>
    <row r="34" spans="2:3" x14ac:dyDescent="0.25">
      <c r="B34" s="3" t="s">
        <v>12</v>
      </c>
      <c r="C34" s="12" t="s">
        <v>40</v>
      </c>
    </row>
    <row r="35" spans="2:3" x14ac:dyDescent="0.25">
      <c r="B35" s="3" t="s">
        <v>13</v>
      </c>
      <c r="C35" s="12" t="s">
        <v>39</v>
      </c>
    </row>
    <row r="36" spans="2:3" x14ac:dyDescent="0.25">
      <c r="B36" s="3" t="s">
        <v>36</v>
      </c>
      <c r="C36" s="15">
        <v>0.23</v>
      </c>
    </row>
    <row r="37" spans="2:3" x14ac:dyDescent="0.25">
      <c r="B37" s="3" t="s">
        <v>37</v>
      </c>
      <c r="C37" s="15">
        <v>0.32</v>
      </c>
    </row>
    <row r="38" spans="2:3" x14ac:dyDescent="0.25">
      <c r="B38" s="3" t="s">
        <v>38</v>
      </c>
      <c r="C38" s="15">
        <v>0.28000000000000003</v>
      </c>
    </row>
    <row r="39" spans="2:3" x14ac:dyDescent="0.25">
      <c r="B39" s="16" t="s">
        <v>14</v>
      </c>
      <c r="C3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Morozova</dc:creator>
  <cp:lastModifiedBy>Даниил Аннануров</cp:lastModifiedBy>
  <dcterms:created xsi:type="dcterms:W3CDTF">2025-05-11T20:57:36Z</dcterms:created>
  <dcterms:modified xsi:type="dcterms:W3CDTF">2025-05-19T16:37:45Z</dcterms:modified>
</cp:coreProperties>
</file>