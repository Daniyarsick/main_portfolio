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aniil\Desktop\"/>
    </mc:Choice>
  </mc:AlternateContent>
  <xr:revisionPtr revIDLastSave="0" documentId="13_ncr:1_{5ECA0412-79F8-4110-B149-81242F2224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Сценарии ресторан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D19" i="1"/>
  <c r="B19" i="1"/>
  <c r="C37" i="1"/>
  <c r="D37" i="1"/>
  <c r="B37" i="1"/>
  <c r="C15" i="1"/>
  <c r="D15" i="1"/>
  <c r="B15" i="1"/>
  <c r="C27" i="1"/>
  <c r="D27" i="1"/>
  <c r="B27" i="1"/>
  <c r="C26" i="1"/>
  <c r="D26" i="1"/>
  <c r="C25" i="1"/>
  <c r="D25" i="1"/>
  <c r="C24" i="1"/>
  <c r="D24" i="1"/>
  <c r="C23" i="1"/>
  <c r="D23" i="1"/>
  <c r="C22" i="1"/>
  <c r="D22" i="1"/>
  <c r="B26" i="1"/>
  <c r="B25" i="1"/>
  <c r="B23" i="1"/>
  <c r="B24" i="1"/>
  <c r="B22" i="1"/>
  <c r="D20" i="1" l="1"/>
  <c r="C20" i="1"/>
  <c r="C38" i="1" s="1"/>
  <c r="B20" i="1"/>
  <c r="B38" i="1" l="1"/>
  <c r="B34" i="1"/>
  <c r="B35" i="1" s="1"/>
  <c r="D38" i="1"/>
  <c r="D34" i="1"/>
  <c r="C34" i="1"/>
  <c r="D35" i="1" l="1"/>
  <c r="C35" i="1"/>
</calcChain>
</file>

<file path=xl/sharedStrings.xml><?xml version="1.0" encoding="utf-8"?>
<sst xmlns="http://schemas.openxmlformats.org/spreadsheetml/2006/main" count="56" uniqueCount="54">
  <si>
    <t>Наименование сценария</t>
  </si>
  <si>
    <t>1. AS-IS</t>
  </si>
  <si>
    <t>2. Базовая автоматизация</t>
  </si>
  <si>
    <t>3. Комплексная цифровизация</t>
  </si>
  <si>
    <t>Параметры сценария</t>
  </si>
  <si>
    <t>Количество посадочных мест</t>
  </si>
  <si>
    <t>Средний чек по услуге, руб</t>
  </si>
  <si>
    <t>Зарплата Управляющего, руб в месяц</t>
  </si>
  <si>
    <t>Зарплата Администратора зала, руб в месяц</t>
  </si>
  <si>
    <t>Зарплата Шеф-повара, руб в месяц</t>
  </si>
  <si>
    <t>Зарплата Официантов (4 чел), руб в месяц</t>
  </si>
  <si>
    <t>Зарплата Поваров (3 чел), руб в месяц</t>
  </si>
  <si>
    <t>Зарплата Барменов (2 чел), руб в месяц</t>
  </si>
  <si>
    <t>Количество Администраторов, чел</t>
  </si>
  <si>
    <t>Количество Официантов, чел</t>
  </si>
  <si>
    <t>Количество Поваров, чел</t>
  </si>
  <si>
    <t>Количество Барменов, чел</t>
  </si>
  <si>
    <t>Доходы (Прибыльность)</t>
  </si>
  <si>
    <t>Количество гостей в день</t>
  </si>
  <si>
    <t>Количество обслуженных клиентов в месяц</t>
  </si>
  <si>
    <t>Количество довольных клиентов, чел в месяц</t>
  </si>
  <si>
    <t>Маржинальная прибыль предприятия</t>
  </si>
  <si>
    <t>Затраты (Себестоимость)</t>
  </si>
  <si>
    <t>Постоянные издержки</t>
  </si>
  <si>
    <t>Зарплата Администратора, руб в месяц</t>
  </si>
  <si>
    <t>Зарплата Поваров, руб в месяц</t>
  </si>
  <si>
    <t>Зарплата Официантов, руб в месяц</t>
  </si>
  <si>
    <t>Зарплата Барменов, руб в месяц</t>
  </si>
  <si>
    <t>Аренда помещений, руб в месяц</t>
  </si>
  <si>
    <t>Расходы на оборудование, руб в месяц</t>
  </si>
  <si>
    <t>Расходы на IT-системы, руб в месяц</t>
  </si>
  <si>
    <t>Расходы на продукты, руб в месяц</t>
  </si>
  <si>
    <t>Иные расходы</t>
  </si>
  <si>
    <t>Эффективность</t>
  </si>
  <si>
    <t>Чистая прибыль, руб в месяц</t>
  </si>
  <si>
    <t>Рентабельность</t>
  </si>
  <si>
    <t>Чистая прибыль c 1-ой услуги, руб</t>
  </si>
  <si>
    <t>Чистая прибыль c 1-ой услуги, % от маржи</t>
  </si>
  <si>
    <t>Себестоимость оказания 1-ой услуги, руб</t>
  </si>
  <si>
    <t>Средняя загрузка Управляющего % от рабочего времени</t>
  </si>
  <si>
    <t>Средняя загрузка Администратора % от рабочего времени</t>
  </si>
  <si>
    <t>Средняя загрузка Шеф-повара % от рабочего времени</t>
  </si>
  <si>
    <t>Средняя загрузка Официантов % от рабочего времени</t>
  </si>
  <si>
    <t>Средняя загрузка Поваров % от рабочего времени</t>
  </si>
  <si>
    <t>Доля клиентов, оформивших услугу, от общего числа клиентов за месяц</t>
  </si>
  <si>
    <t>Доля клиентов, получивших услуги, от общего числа клиентов за месяц</t>
  </si>
  <si>
    <t>Выводы</t>
  </si>
  <si>
    <t>Низкая маржинальность</t>
  </si>
  <si>
    <t>Максимальное среднее время ожидания ресурса? Какой ресурс? На какой Операции?</t>
  </si>
  <si>
    <t>13 минут, Администратор, Размещение за столиком</t>
  </si>
  <si>
    <t>11 минут, Администратор, Размещение за столом</t>
  </si>
  <si>
    <t>5 минут, Администратор, Размещение за столом</t>
  </si>
  <si>
    <t>Необходима оптимизация работы Администратора</t>
  </si>
  <si>
    <t>Оптимальный вариант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</si>
</sst>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23" workbookViewId="0">
      <selection activeCell="D44" sqref="D44"/>
    </sheetView>
  </sheetViews>
  <sheetFormatPr defaultRowHeight="15" x14ac:dyDescent="0.25"/>
  <cols>
    <col min="1" max="1" width="86.5703125" bestFit="1" customWidth="1"/>
    <col min="2" max="2" width="52.85546875" bestFit="1" customWidth="1"/>
    <col min="3" max="3" width="55.85546875" bestFit="1" customWidth="1"/>
    <col min="4" max="4" width="49.28515625" bestFit="1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s="2" t="s">
        <v>4</v>
      </c>
      <c r="B2" s="2"/>
      <c r="C2" s="2"/>
      <c r="D2" s="2"/>
    </row>
    <row r="3" spans="1:4" ht="15.75" x14ac:dyDescent="0.25">
      <c r="A3" s="3" t="s">
        <v>5</v>
      </c>
      <c r="B3" s="3">
        <v>60</v>
      </c>
      <c r="C3" s="3">
        <v>60</v>
      </c>
      <c r="D3" s="3">
        <v>60</v>
      </c>
    </row>
    <row r="4" spans="1:4" ht="15.75" x14ac:dyDescent="0.25">
      <c r="A4" s="3" t="s">
        <v>6</v>
      </c>
      <c r="B4" s="9">
        <v>2500</v>
      </c>
      <c r="C4" s="9">
        <v>2750</v>
      </c>
      <c r="D4" s="9">
        <v>3000</v>
      </c>
    </row>
    <row r="5" spans="1:4" ht="15.75" x14ac:dyDescent="0.25">
      <c r="A5" s="3" t="s">
        <v>7</v>
      </c>
      <c r="B5" s="9">
        <v>120000</v>
      </c>
      <c r="C5" s="9">
        <v>120000</v>
      </c>
      <c r="D5" s="9">
        <v>130000</v>
      </c>
    </row>
    <row r="6" spans="1:4" ht="15.75" x14ac:dyDescent="0.25">
      <c r="A6" s="3" t="s">
        <v>8</v>
      </c>
      <c r="B6" s="9">
        <v>85000</v>
      </c>
      <c r="C6" s="9">
        <v>85000</v>
      </c>
      <c r="D6" s="9">
        <v>90000</v>
      </c>
    </row>
    <row r="7" spans="1:4" ht="15.75" x14ac:dyDescent="0.25">
      <c r="A7" s="3" t="s">
        <v>9</v>
      </c>
      <c r="B7" s="9">
        <v>100000</v>
      </c>
      <c r="C7" s="9">
        <v>100000</v>
      </c>
      <c r="D7" s="9">
        <v>105000</v>
      </c>
    </row>
    <row r="8" spans="1:4" ht="15.75" x14ac:dyDescent="0.25">
      <c r="A8" s="3" t="s">
        <v>10</v>
      </c>
      <c r="B8" s="9">
        <v>240000</v>
      </c>
      <c r="C8" s="9">
        <v>240000</v>
      </c>
      <c r="D8" s="9">
        <v>250000</v>
      </c>
    </row>
    <row r="9" spans="1:4" ht="15.75" x14ac:dyDescent="0.25">
      <c r="A9" s="3" t="s">
        <v>11</v>
      </c>
      <c r="B9" s="9">
        <v>180000</v>
      </c>
      <c r="C9" s="9">
        <v>180000</v>
      </c>
      <c r="D9" s="9">
        <v>190000</v>
      </c>
    </row>
    <row r="10" spans="1:4" ht="15.75" x14ac:dyDescent="0.25">
      <c r="A10" s="3" t="s">
        <v>12</v>
      </c>
      <c r="B10" s="9">
        <v>120000</v>
      </c>
      <c r="C10" s="9">
        <v>120000</v>
      </c>
      <c r="D10" s="9">
        <v>125000</v>
      </c>
    </row>
    <row r="11" spans="1:4" ht="15.75" x14ac:dyDescent="0.25">
      <c r="A11" s="3" t="s">
        <v>13</v>
      </c>
      <c r="B11" s="3">
        <v>4</v>
      </c>
      <c r="C11" s="3">
        <v>5</v>
      </c>
      <c r="D11" s="3">
        <v>6</v>
      </c>
    </row>
    <row r="12" spans="1:4" ht="15.75" x14ac:dyDescent="0.25">
      <c r="A12" s="3" t="s">
        <v>14</v>
      </c>
      <c r="B12" s="3">
        <v>15</v>
      </c>
      <c r="C12" s="3">
        <v>15</v>
      </c>
      <c r="D12" s="3">
        <v>15</v>
      </c>
    </row>
    <row r="13" spans="1:4" ht="15.75" x14ac:dyDescent="0.25">
      <c r="A13" s="3" t="s">
        <v>15</v>
      </c>
      <c r="B13" s="3">
        <v>19</v>
      </c>
      <c r="C13" s="3">
        <v>19</v>
      </c>
      <c r="D13" s="3">
        <v>19</v>
      </c>
    </row>
    <row r="14" spans="1:4" ht="15.75" x14ac:dyDescent="0.25">
      <c r="A14" s="3" t="s">
        <v>16</v>
      </c>
      <c r="B14" s="3">
        <v>2</v>
      </c>
      <c r="C14" s="3">
        <v>2</v>
      </c>
      <c r="D14" s="3">
        <v>2</v>
      </c>
    </row>
    <row r="15" spans="1:4" ht="15.75" x14ac:dyDescent="0.25">
      <c r="A15" s="2" t="s">
        <v>17</v>
      </c>
      <c r="B15" s="10">
        <f>B17*B4</f>
        <v>13500000</v>
      </c>
      <c r="C15" s="10">
        <f>C17*C4</f>
        <v>18150000</v>
      </c>
      <c r="D15" s="10">
        <f>D17*D4</f>
        <v>22500000</v>
      </c>
    </row>
    <row r="16" spans="1:4" ht="15.75" x14ac:dyDescent="0.25">
      <c r="A16" s="3" t="s">
        <v>18</v>
      </c>
      <c r="B16" s="3">
        <v>180</v>
      </c>
      <c r="C16" s="3">
        <v>220</v>
      </c>
      <c r="D16" s="3">
        <v>250</v>
      </c>
    </row>
    <row r="17" spans="1:4" ht="15.75" x14ac:dyDescent="0.25">
      <c r="A17" s="3" t="s">
        <v>19</v>
      </c>
      <c r="B17" s="3">
        <v>5400</v>
      </c>
      <c r="C17" s="3">
        <v>6600</v>
      </c>
      <c r="D17" s="3">
        <v>7500</v>
      </c>
    </row>
    <row r="18" spans="1:4" ht="15.75" x14ac:dyDescent="0.25">
      <c r="A18" s="3" t="s">
        <v>20</v>
      </c>
      <c r="B18" s="3">
        <v>4050</v>
      </c>
      <c r="C18" s="3">
        <v>5775</v>
      </c>
      <c r="D18" s="3">
        <v>6750</v>
      </c>
    </row>
    <row r="19" spans="1:4" ht="15.75" x14ac:dyDescent="0.25">
      <c r="A19" s="3" t="s">
        <v>21</v>
      </c>
      <c r="B19" s="9">
        <f>B17*B4</f>
        <v>13500000</v>
      </c>
      <c r="C19" s="9">
        <f t="shared" ref="C19:D19" si="0">C17*C4</f>
        <v>18150000</v>
      </c>
      <c r="D19" s="9">
        <f t="shared" si="0"/>
        <v>22500000</v>
      </c>
    </row>
    <row r="20" spans="1:4" ht="15.75" x14ac:dyDescent="0.25">
      <c r="A20" s="2" t="s">
        <v>22</v>
      </c>
      <c r="B20" s="10">
        <f>SUM(B22:B32)</f>
        <v>13075000</v>
      </c>
      <c r="C20" s="10">
        <f t="shared" ref="C20:D20" si="1">SUM(C22:C32)</f>
        <v>14285000</v>
      </c>
      <c r="D20" s="10">
        <f t="shared" si="1"/>
        <v>15585000</v>
      </c>
    </row>
    <row r="21" spans="1:4" ht="15.75" x14ac:dyDescent="0.25">
      <c r="A21" s="6" t="s">
        <v>23</v>
      </c>
      <c r="B21" s="6"/>
      <c r="C21" s="6"/>
      <c r="D21" s="6"/>
    </row>
    <row r="22" spans="1:4" ht="15.75" x14ac:dyDescent="0.25">
      <c r="A22" s="3" t="s">
        <v>7</v>
      </c>
      <c r="B22" s="9">
        <f>B5</f>
        <v>120000</v>
      </c>
      <c r="C22" s="9">
        <f t="shared" ref="C22:D22" si="2">C5</f>
        <v>120000</v>
      </c>
      <c r="D22" s="9">
        <f t="shared" si="2"/>
        <v>130000</v>
      </c>
    </row>
    <row r="23" spans="1:4" ht="15.75" x14ac:dyDescent="0.25">
      <c r="A23" s="3" t="s">
        <v>24</v>
      </c>
      <c r="B23" s="9">
        <f>B6*B11</f>
        <v>340000</v>
      </c>
      <c r="C23" s="9">
        <f>C6*C11</f>
        <v>425000</v>
      </c>
      <c r="D23" s="9">
        <f>D6*D11</f>
        <v>540000</v>
      </c>
    </row>
    <row r="24" spans="1:4" ht="15.75" x14ac:dyDescent="0.25">
      <c r="A24" s="3" t="s">
        <v>9</v>
      </c>
      <c r="B24" s="9">
        <f>B7</f>
        <v>100000</v>
      </c>
      <c r="C24" s="9">
        <f t="shared" ref="C24:D24" si="3">C7</f>
        <v>100000</v>
      </c>
      <c r="D24" s="9">
        <f t="shared" si="3"/>
        <v>105000</v>
      </c>
    </row>
    <row r="25" spans="1:4" ht="15.75" x14ac:dyDescent="0.25">
      <c r="A25" s="3" t="s">
        <v>25</v>
      </c>
      <c r="B25" s="9">
        <f>B9*B13</f>
        <v>3420000</v>
      </c>
      <c r="C25" s="9">
        <f>C9*C13</f>
        <v>3420000</v>
      </c>
      <c r="D25" s="9">
        <f>D9*D13</f>
        <v>3610000</v>
      </c>
    </row>
    <row r="26" spans="1:4" ht="15.75" x14ac:dyDescent="0.25">
      <c r="A26" s="3" t="s">
        <v>26</v>
      </c>
      <c r="B26" s="9">
        <f>B8*B12</f>
        <v>3600000</v>
      </c>
      <c r="C26" s="9">
        <f>C8*C12</f>
        <v>3600000</v>
      </c>
      <c r="D26" s="9">
        <f>D8*D12</f>
        <v>3750000</v>
      </c>
    </row>
    <row r="27" spans="1:4" ht="15.75" x14ac:dyDescent="0.25">
      <c r="A27" s="3" t="s">
        <v>27</v>
      </c>
      <c r="B27" s="9">
        <f>B10*B14</f>
        <v>240000</v>
      </c>
      <c r="C27" s="9">
        <f>C10*C14</f>
        <v>240000</v>
      </c>
      <c r="D27" s="9">
        <f>D10*D14</f>
        <v>250000</v>
      </c>
    </row>
    <row r="28" spans="1:4" ht="15.75" x14ac:dyDescent="0.25">
      <c r="A28" s="3" t="s">
        <v>28</v>
      </c>
      <c r="B28" s="9">
        <v>500000</v>
      </c>
      <c r="C28" s="9">
        <v>500000</v>
      </c>
      <c r="D28" s="9">
        <v>500000</v>
      </c>
    </row>
    <row r="29" spans="1:4" ht="15.75" x14ac:dyDescent="0.25">
      <c r="A29" s="3" t="s">
        <v>29</v>
      </c>
      <c r="B29" s="9">
        <v>80000</v>
      </c>
      <c r="C29" s="9">
        <v>120000</v>
      </c>
      <c r="D29" s="9">
        <v>150000</v>
      </c>
    </row>
    <row r="30" spans="1:4" ht="15.75" x14ac:dyDescent="0.25">
      <c r="A30" s="3" t="s">
        <v>30</v>
      </c>
      <c r="B30" s="9">
        <v>25000</v>
      </c>
      <c r="C30" s="9">
        <v>60000</v>
      </c>
      <c r="D30" s="9">
        <v>100000</v>
      </c>
    </row>
    <row r="31" spans="1:4" ht="15.75" x14ac:dyDescent="0.25">
      <c r="A31" s="3" t="s">
        <v>31</v>
      </c>
      <c r="B31" s="9">
        <v>4500000</v>
      </c>
      <c r="C31" s="9">
        <v>5500000</v>
      </c>
      <c r="D31" s="9">
        <v>6200000</v>
      </c>
    </row>
    <row r="32" spans="1:4" ht="15.75" x14ac:dyDescent="0.25">
      <c r="A32" s="3" t="s">
        <v>32</v>
      </c>
      <c r="B32" s="9">
        <v>150000</v>
      </c>
      <c r="C32" s="9">
        <v>200000</v>
      </c>
      <c r="D32" s="9">
        <v>250000</v>
      </c>
    </row>
    <row r="33" spans="1:4" ht="15.75" x14ac:dyDescent="0.25">
      <c r="A33" s="7" t="s">
        <v>33</v>
      </c>
      <c r="B33" s="7"/>
      <c r="C33" s="7"/>
      <c r="D33" s="7"/>
    </row>
    <row r="34" spans="1:4" ht="15.75" x14ac:dyDescent="0.25">
      <c r="A34" s="2" t="s">
        <v>34</v>
      </c>
      <c r="B34" s="10">
        <f>B15-B20</f>
        <v>425000</v>
      </c>
      <c r="C34" s="10">
        <f t="shared" ref="C34:D34" si="4">C15-C20</f>
        <v>3865000</v>
      </c>
      <c r="D34" s="10">
        <f t="shared" si="4"/>
        <v>6915000</v>
      </c>
    </row>
    <row r="35" spans="1:4" ht="15.75" x14ac:dyDescent="0.25">
      <c r="A35" s="3" t="s">
        <v>35</v>
      </c>
      <c r="B35" s="4">
        <f>B34/B19</f>
        <v>3.1481481481481478E-2</v>
      </c>
      <c r="C35" s="4">
        <f>C34/C19</f>
        <v>0.21294765840220387</v>
      </c>
      <c r="D35" s="4">
        <f>D34/D19</f>
        <v>0.30733333333333335</v>
      </c>
    </row>
    <row r="36" spans="1:4" ht="15.75" x14ac:dyDescent="0.25">
      <c r="A36" s="3" t="s">
        <v>36</v>
      </c>
      <c r="B36" s="3">
        <v>440</v>
      </c>
      <c r="C36" s="3">
        <v>500</v>
      </c>
      <c r="D36" s="3">
        <v>600</v>
      </c>
    </row>
    <row r="37" spans="1:4" ht="15.75" x14ac:dyDescent="0.25">
      <c r="A37" s="3" t="s">
        <v>37</v>
      </c>
      <c r="B37" s="4">
        <f>B36/B4</f>
        <v>0.17599999999999999</v>
      </c>
      <c r="C37" s="4">
        <f>C36/C4</f>
        <v>0.18181818181818182</v>
      </c>
      <c r="D37" s="4">
        <f>D36/D4</f>
        <v>0.2</v>
      </c>
    </row>
    <row r="38" spans="1:4" ht="15.75" x14ac:dyDescent="0.25">
      <c r="A38" s="3" t="s">
        <v>38</v>
      </c>
      <c r="B38" s="8">
        <f>B20/B17</f>
        <v>2421.2962962962961</v>
      </c>
      <c r="C38" s="8">
        <f t="shared" ref="C38:D38" si="5">C20/C17</f>
        <v>2164.3939393939395</v>
      </c>
      <c r="D38" s="8">
        <f t="shared" si="5"/>
        <v>2078</v>
      </c>
    </row>
    <row r="39" spans="1:4" ht="15.75" x14ac:dyDescent="0.25">
      <c r="A39" s="3" t="s">
        <v>48</v>
      </c>
      <c r="B39" s="3" t="s">
        <v>49</v>
      </c>
      <c r="C39" s="3" t="s">
        <v>50</v>
      </c>
      <c r="D39" s="3" t="s">
        <v>51</v>
      </c>
    </row>
    <row r="40" spans="1:4" ht="15.75" x14ac:dyDescent="0.25">
      <c r="A40" s="3" t="s">
        <v>39</v>
      </c>
      <c r="B40" s="5">
        <v>0.40799999999999997</v>
      </c>
      <c r="C40" s="5">
        <v>0.39</v>
      </c>
      <c r="D40" s="5">
        <v>0.38</v>
      </c>
    </row>
    <row r="41" spans="1:4" ht="15.75" x14ac:dyDescent="0.25">
      <c r="A41" s="3" t="s">
        <v>40</v>
      </c>
      <c r="B41" s="5">
        <v>0.56420000000000003</v>
      </c>
      <c r="C41" s="5">
        <v>0.52</v>
      </c>
      <c r="D41" s="5">
        <v>0.44</v>
      </c>
    </row>
    <row r="42" spans="1:4" ht="15.75" x14ac:dyDescent="0.25">
      <c r="A42" s="3" t="s">
        <v>41</v>
      </c>
      <c r="B42" s="5">
        <v>0.45600000000000002</v>
      </c>
      <c r="C42" s="5">
        <v>0.45</v>
      </c>
      <c r="D42" s="5">
        <v>0.44</v>
      </c>
    </row>
    <row r="43" spans="1:4" ht="15.75" x14ac:dyDescent="0.25">
      <c r="A43" s="3" t="s">
        <v>42</v>
      </c>
      <c r="B43" s="5">
        <v>0.4798</v>
      </c>
      <c r="C43" s="5">
        <v>0.45</v>
      </c>
      <c r="D43" s="5">
        <v>0.4</v>
      </c>
    </row>
    <row r="44" spans="1:4" ht="15.75" x14ac:dyDescent="0.25">
      <c r="A44" s="3" t="s">
        <v>43</v>
      </c>
      <c r="B44" s="5">
        <v>0.3856</v>
      </c>
      <c r="C44" s="5">
        <v>0.42</v>
      </c>
      <c r="D44" s="5">
        <v>0.35</v>
      </c>
    </row>
    <row r="45" spans="1:4" ht="15.75" x14ac:dyDescent="0.25">
      <c r="A45" s="3" t="s">
        <v>44</v>
      </c>
      <c r="B45" s="5">
        <v>0.75</v>
      </c>
      <c r="C45" s="4">
        <v>0.875</v>
      </c>
      <c r="D45" s="5">
        <v>0.9</v>
      </c>
    </row>
    <row r="46" spans="1:4" ht="15.75" x14ac:dyDescent="0.25">
      <c r="A46" s="3" t="s">
        <v>45</v>
      </c>
      <c r="B46" s="5">
        <v>1</v>
      </c>
      <c r="C46" s="5">
        <v>1</v>
      </c>
      <c r="D46" s="5">
        <v>1</v>
      </c>
    </row>
    <row r="47" spans="1:4" ht="15.75" x14ac:dyDescent="0.25">
      <c r="A47" s="11" t="s">
        <v>46</v>
      </c>
      <c r="B47" s="11"/>
      <c r="C47" s="11"/>
      <c r="D47" s="11"/>
    </row>
    <row r="48" spans="1:4" ht="15.75" x14ac:dyDescent="0.25">
      <c r="A48" s="3"/>
      <c r="B48" s="3" t="s">
        <v>47</v>
      </c>
      <c r="C48" s="3" t="s">
        <v>52</v>
      </c>
      <c r="D48" s="3" t="s">
        <v>53</v>
      </c>
    </row>
  </sheetData>
  <pageMargins left="0.75" right="0.75" top="1" bottom="1" header="0.5" footer="0.5"/>
  <pageSetup paperSize="9" orientation="portrait" r:id="rId1"/>
  <ignoredErrors>
    <ignoredError sqref="B23:D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Сценарии ресторана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 Аннануров</cp:lastModifiedBy>
  <dcterms:created xsi:type="dcterms:W3CDTF">2025-06-29T23:00:55Z</dcterms:created>
  <dcterms:modified xsi:type="dcterms:W3CDTF">2025-06-30T20:48:59Z</dcterms:modified>
</cp:coreProperties>
</file>