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nan\OneDrive\Рабочий стол\"/>
    </mc:Choice>
  </mc:AlternateContent>
  <bookViews>
    <workbookView xWindow="0" yWindow="0" windowWidth="21570" windowHeight="7620" activeTab="2"/>
  </bookViews>
  <sheets>
    <sheet name="Задание 2.1" sheetId="1" r:id="rId1"/>
    <sheet name="Задание 2.2" sheetId="3" r:id="rId2"/>
    <sheet name="Задание 2.2(собственный)" sheetId="4" r:id="rId3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4" l="1"/>
  <c r="C3" i="4"/>
  <c r="D3" i="4"/>
  <c r="E3" i="4"/>
  <c r="F3" i="4"/>
  <c r="G3" i="4"/>
  <c r="H3" i="4"/>
  <c r="I3" i="4"/>
  <c r="J3" i="4"/>
  <c r="K3" i="4"/>
  <c r="L3" i="4"/>
  <c r="M3" i="4"/>
  <c r="N3" i="4"/>
  <c r="O3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C2" i="4"/>
  <c r="D2" i="4"/>
  <c r="E2" i="4"/>
  <c r="F2" i="4"/>
  <c r="G2" i="4"/>
  <c r="H2" i="4"/>
  <c r="I2" i="4"/>
  <c r="J2" i="4"/>
  <c r="K2" i="4"/>
  <c r="L2" i="4"/>
  <c r="M2" i="4"/>
  <c r="N2" i="4"/>
  <c r="O2" i="4"/>
  <c r="B2" i="4"/>
  <c r="B3" i="3"/>
  <c r="C3" i="3"/>
  <c r="D3" i="3"/>
  <c r="E3" i="3"/>
  <c r="F3" i="3"/>
  <c r="G3" i="3"/>
  <c r="H3" i="3"/>
  <c r="I3" i="3"/>
  <c r="J3" i="3"/>
  <c r="K3" i="3"/>
  <c r="L3" i="3"/>
  <c r="M3" i="3"/>
  <c r="N3" i="3"/>
  <c r="O3" i="3"/>
  <c r="B4" i="3"/>
  <c r="C4" i="3"/>
  <c r="D4" i="3"/>
  <c r="E4" i="3"/>
  <c r="F4" i="3"/>
  <c r="G4" i="3"/>
  <c r="H4" i="3"/>
  <c r="I4" i="3"/>
  <c r="J4" i="3"/>
  <c r="K4" i="3"/>
  <c r="L4" i="3"/>
  <c r="M4" i="3"/>
  <c r="N4" i="3"/>
  <c r="O4" i="3"/>
  <c r="B5" i="3"/>
  <c r="C5" i="3"/>
  <c r="D5" i="3"/>
  <c r="E5" i="3"/>
  <c r="F5" i="3"/>
  <c r="G5" i="3"/>
  <c r="H5" i="3"/>
  <c r="I5" i="3"/>
  <c r="J5" i="3"/>
  <c r="K5" i="3"/>
  <c r="L5" i="3"/>
  <c r="M5" i="3"/>
  <c r="N5" i="3"/>
  <c r="O5" i="3"/>
  <c r="B6" i="3"/>
  <c r="C6" i="3"/>
  <c r="D6" i="3"/>
  <c r="E6" i="3"/>
  <c r="F6" i="3"/>
  <c r="G6" i="3"/>
  <c r="H6" i="3"/>
  <c r="I6" i="3"/>
  <c r="J6" i="3"/>
  <c r="K6" i="3"/>
  <c r="L6" i="3"/>
  <c r="M6" i="3"/>
  <c r="N6" i="3"/>
  <c r="O6" i="3"/>
  <c r="B7" i="3"/>
  <c r="C7" i="3"/>
  <c r="D7" i="3"/>
  <c r="E7" i="3"/>
  <c r="F7" i="3"/>
  <c r="G7" i="3"/>
  <c r="H7" i="3"/>
  <c r="I7" i="3"/>
  <c r="J7" i="3"/>
  <c r="K7" i="3"/>
  <c r="L7" i="3"/>
  <c r="M7" i="3"/>
  <c r="N7" i="3"/>
  <c r="O7" i="3"/>
  <c r="B8" i="3"/>
  <c r="C8" i="3"/>
  <c r="D8" i="3"/>
  <c r="E8" i="3"/>
  <c r="F8" i="3"/>
  <c r="G8" i="3"/>
  <c r="H8" i="3"/>
  <c r="I8" i="3"/>
  <c r="J8" i="3"/>
  <c r="K8" i="3"/>
  <c r="L8" i="3"/>
  <c r="M8" i="3"/>
  <c r="N8" i="3"/>
  <c r="O8" i="3"/>
  <c r="B9" i="3"/>
  <c r="C9" i="3"/>
  <c r="D9" i="3"/>
  <c r="E9" i="3"/>
  <c r="F9" i="3"/>
  <c r="G9" i="3"/>
  <c r="H9" i="3"/>
  <c r="I9" i="3"/>
  <c r="J9" i="3"/>
  <c r="K9" i="3"/>
  <c r="L9" i="3"/>
  <c r="M9" i="3"/>
  <c r="N9" i="3"/>
  <c r="O9" i="3"/>
  <c r="B10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B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B12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B13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B14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B16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B17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B18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B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B21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C2" i="3"/>
  <c r="D2" i="3"/>
  <c r="E2" i="3"/>
  <c r="F2" i="3"/>
  <c r="G2" i="3"/>
  <c r="H2" i="3"/>
  <c r="I2" i="3"/>
  <c r="J2" i="3"/>
  <c r="K2" i="3"/>
  <c r="L2" i="3"/>
  <c r="M2" i="3"/>
  <c r="N2" i="3"/>
  <c r="O2" i="3"/>
  <c r="B2" i="3"/>
  <c r="C68" i="1" l="1"/>
  <c r="D68" i="1"/>
  <c r="E68" i="1"/>
  <c r="F68" i="1"/>
  <c r="G68" i="1"/>
  <c r="H68" i="1"/>
  <c r="I68" i="1"/>
  <c r="J68" i="1"/>
  <c r="K68" i="1"/>
  <c r="L68" i="1"/>
  <c r="M68" i="1"/>
  <c r="N68" i="1"/>
  <c r="B6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B48" i="1"/>
  <c r="C25" i="1" l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B25" i="1"/>
  <c r="C6" i="1"/>
  <c r="D6" i="1"/>
  <c r="E6" i="1"/>
  <c r="F6" i="1"/>
  <c r="G6" i="1"/>
  <c r="H6" i="1"/>
  <c r="I6" i="1"/>
  <c r="J6" i="1"/>
  <c r="K6" i="1"/>
  <c r="L6" i="1"/>
  <c r="M6" i="1"/>
  <c r="B6" i="1"/>
</calcChain>
</file>

<file path=xl/sharedStrings.xml><?xml version="1.0" encoding="utf-8"?>
<sst xmlns="http://schemas.openxmlformats.org/spreadsheetml/2006/main" count="17" uniqueCount="12">
  <si>
    <t>Месяц</t>
  </si>
  <si>
    <t>Год</t>
  </si>
  <si>
    <t xml:space="preserve">Номер дома </t>
  </si>
  <si>
    <t>Номер квартиры</t>
  </si>
  <si>
    <t>Номер варианта (a)</t>
  </si>
  <si>
    <t>День(b)</t>
  </si>
  <si>
    <t>x</t>
  </si>
  <si>
    <t>y</t>
  </si>
  <si>
    <t xml:space="preserve">x </t>
  </si>
  <si>
    <t>Порядковый номер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</si>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</sst>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y = |a/b+|x||</a:t>
            </a:r>
            <a:endParaRPr lang="ru-RU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'Задание 2.1'!$A$6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'Задание 2.1'!$B$5:$M$5</c:f>
              <c:numCache>
                <c:formatCode>General</c:formatCode>
                <c:ptCount val="12"/>
                <c:pt idx="0">
                  <c:v>-2</c:v>
                </c:pt>
                <c:pt idx="1">
                  <c:v>-1.5</c:v>
                </c:pt>
                <c:pt idx="2">
                  <c:v>-1</c:v>
                </c:pt>
                <c:pt idx="3">
                  <c:v>-0.5</c:v>
                </c:pt>
                <c:pt idx="4">
                  <c:v>0</c:v>
                </c:pt>
                <c:pt idx="5">
                  <c:v>0.5</c:v>
                </c:pt>
                <c:pt idx="6">
                  <c:v>1</c:v>
                </c:pt>
                <c:pt idx="7">
                  <c:v>1.5</c:v>
                </c:pt>
                <c:pt idx="8">
                  <c:v>2</c:v>
                </c:pt>
                <c:pt idx="9">
                  <c:v>2.5</c:v>
                </c:pt>
                <c:pt idx="10">
                  <c:v>3</c:v>
                </c:pt>
                <c:pt idx="11">
                  <c:v>3.5</c:v>
                </c:pt>
              </c:numCache>
            </c:numRef>
          </c:xVal>
          <c:yVal>
            <c:numRef>
              <c:f>'Задание 2.1'!$B$6:$M$6</c:f>
              <c:numCache>
                <c:formatCode>General</c:formatCode>
                <c:ptCount val="12"/>
                <c:pt idx="0">
                  <c:v>2.7083333333333335</c:v>
                </c:pt>
                <c:pt idx="1">
                  <c:v>2.2083333333333335</c:v>
                </c:pt>
                <c:pt idx="2">
                  <c:v>1.7083333333333335</c:v>
                </c:pt>
                <c:pt idx="3">
                  <c:v>1.2083333333333335</c:v>
                </c:pt>
                <c:pt idx="4">
                  <c:v>0.70833333333333337</c:v>
                </c:pt>
                <c:pt idx="5">
                  <c:v>1.2083333333333335</c:v>
                </c:pt>
                <c:pt idx="6">
                  <c:v>1.7083333333333335</c:v>
                </c:pt>
                <c:pt idx="7">
                  <c:v>2.2083333333333335</c:v>
                </c:pt>
                <c:pt idx="8">
                  <c:v>2.7083333333333335</c:v>
                </c:pt>
                <c:pt idx="9">
                  <c:v>3.2083333333333335</c:v>
                </c:pt>
                <c:pt idx="10">
                  <c:v>3.7083333333333335</c:v>
                </c:pt>
                <c:pt idx="11">
                  <c:v>4.208333333333333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04-439B-AF29-3D534D5CB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143696"/>
        <c:axId val="353145664"/>
      </c:scatterChart>
      <c:valAx>
        <c:axId val="353143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X</a:t>
                </a:r>
              </a:p>
            </c:rich>
          </c:tx>
          <c:layout>
            <c:manualLayout>
              <c:xMode val="edge"/>
              <c:yMode val="edge"/>
              <c:x val="0.95814216972878385"/>
              <c:y val="0.746990740740740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  <a:headEnd w="lg" len="lg"/>
            <a:tailEnd type="arrow" w="lg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3145664"/>
        <c:crosses val="autoZero"/>
        <c:crossBetween val="midCat"/>
      </c:valAx>
      <c:valAx>
        <c:axId val="35314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Y</a:t>
                </a:r>
                <a:endParaRPr lang="ru-RU" sz="1200" b="1"/>
              </a:p>
            </c:rich>
          </c:tx>
          <c:layout>
            <c:manualLayout>
              <c:xMode val="edge"/>
              <c:yMode val="edge"/>
              <c:x val="0.46666666666666667"/>
              <c:y val="0.156196048410615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  <a:headEnd w="lg" len="lg"/>
            <a:tailEnd type="arrow" w="lg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3143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y=ax^2+bx+c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2.5109132100845477E-2"/>
          <c:y val="0.17672603901611539"/>
          <c:w val="0.93692871360512253"/>
          <c:h val="0.7069439602492436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'Задание 2.1'!$A$25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'Задание 2.1'!$B$24:$AC$24</c:f>
              <c:numCache>
                <c:formatCode>General</c:formatCode>
                <c:ptCount val="28"/>
                <c:pt idx="0">
                  <c:v>-20</c:v>
                </c:pt>
                <c:pt idx="1">
                  <c:v>-18.5</c:v>
                </c:pt>
                <c:pt idx="2">
                  <c:v>-17</c:v>
                </c:pt>
                <c:pt idx="3">
                  <c:v>-15.5</c:v>
                </c:pt>
                <c:pt idx="4">
                  <c:v>-14</c:v>
                </c:pt>
                <c:pt idx="5">
                  <c:v>-12.5</c:v>
                </c:pt>
                <c:pt idx="6">
                  <c:v>-11</c:v>
                </c:pt>
                <c:pt idx="7">
                  <c:v>-9.5</c:v>
                </c:pt>
                <c:pt idx="8">
                  <c:v>-8</c:v>
                </c:pt>
                <c:pt idx="9">
                  <c:v>-6.5</c:v>
                </c:pt>
                <c:pt idx="10">
                  <c:v>-5</c:v>
                </c:pt>
                <c:pt idx="11">
                  <c:v>-3.5</c:v>
                </c:pt>
                <c:pt idx="12">
                  <c:v>-2</c:v>
                </c:pt>
                <c:pt idx="13">
                  <c:v>-0.5</c:v>
                </c:pt>
                <c:pt idx="14">
                  <c:v>1</c:v>
                </c:pt>
                <c:pt idx="15">
                  <c:v>2.5</c:v>
                </c:pt>
                <c:pt idx="16">
                  <c:v>4</c:v>
                </c:pt>
                <c:pt idx="17">
                  <c:v>5.5</c:v>
                </c:pt>
                <c:pt idx="18">
                  <c:v>7</c:v>
                </c:pt>
                <c:pt idx="19">
                  <c:v>8.5</c:v>
                </c:pt>
                <c:pt idx="20">
                  <c:v>10</c:v>
                </c:pt>
                <c:pt idx="21">
                  <c:v>11.5</c:v>
                </c:pt>
                <c:pt idx="22">
                  <c:v>13</c:v>
                </c:pt>
                <c:pt idx="23">
                  <c:v>14.5</c:v>
                </c:pt>
                <c:pt idx="24">
                  <c:v>16</c:v>
                </c:pt>
                <c:pt idx="25">
                  <c:v>17.5</c:v>
                </c:pt>
                <c:pt idx="26">
                  <c:v>19</c:v>
                </c:pt>
                <c:pt idx="27">
                  <c:v>20.5</c:v>
                </c:pt>
              </c:numCache>
            </c:numRef>
          </c:xVal>
          <c:yVal>
            <c:numRef>
              <c:f>'Задание 2.1'!$B$25:$AC$25</c:f>
              <c:numCache>
                <c:formatCode>General</c:formatCode>
                <c:ptCount val="28"/>
                <c:pt idx="0">
                  <c:v>9580</c:v>
                </c:pt>
                <c:pt idx="1">
                  <c:v>8195.5</c:v>
                </c:pt>
                <c:pt idx="2">
                  <c:v>6919</c:v>
                </c:pt>
                <c:pt idx="3">
                  <c:v>5750.5</c:v>
                </c:pt>
                <c:pt idx="4">
                  <c:v>4690</c:v>
                </c:pt>
                <c:pt idx="5">
                  <c:v>3737.5</c:v>
                </c:pt>
                <c:pt idx="6">
                  <c:v>2893</c:v>
                </c:pt>
                <c:pt idx="7">
                  <c:v>2156.5</c:v>
                </c:pt>
                <c:pt idx="8">
                  <c:v>1528</c:v>
                </c:pt>
                <c:pt idx="9">
                  <c:v>1007.5</c:v>
                </c:pt>
                <c:pt idx="10">
                  <c:v>595</c:v>
                </c:pt>
                <c:pt idx="11">
                  <c:v>290.5</c:v>
                </c:pt>
                <c:pt idx="12">
                  <c:v>94</c:v>
                </c:pt>
                <c:pt idx="13">
                  <c:v>5.5</c:v>
                </c:pt>
                <c:pt idx="14">
                  <c:v>25</c:v>
                </c:pt>
                <c:pt idx="15">
                  <c:v>152.5</c:v>
                </c:pt>
                <c:pt idx="16">
                  <c:v>388</c:v>
                </c:pt>
                <c:pt idx="17">
                  <c:v>731.5</c:v>
                </c:pt>
                <c:pt idx="18">
                  <c:v>1183</c:v>
                </c:pt>
                <c:pt idx="19">
                  <c:v>1742.5</c:v>
                </c:pt>
                <c:pt idx="20">
                  <c:v>2410</c:v>
                </c:pt>
                <c:pt idx="21">
                  <c:v>3185.5</c:v>
                </c:pt>
                <c:pt idx="22">
                  <c:v>4069</c:v>
                </c:pt>
                <c:pt idx="23">
                  <c:v>5060.5</c:v>
                </c:pt>
                <c:pt idx="24">
                  <c:v>6160</c:v>
                </c:pt>
                <c:pt idx="25">
                  <c:v>7367.5</c:v>
                </c:pt>
                <c:pt idx="26">
                  <c:v>8683</c:v>
                </c:pt>
                <c:pt idx="27">
                  <c:v>10106.5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BAF-48A6-8BCE-91E44E3841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3773144"/>
        <c:axId val="583770520"/>
      </c:scatterChart>
      <c:valAx>
        <c:axId val="583773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 b="1"/>
                  <a:t>Х</a:t>
                </a:r>
              </a:p>
            </c:rich>
          </c:tx>
          <c:layout>
            <c:manualLayout>
              <c:xMode val="edge"/>
              <c:yMode val="edge"/>
              <c:x val="0.97323384795241197"/>
              <c:y val="0.853808312128922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  <a:headEnd w="lg" len="lg"/>
            <a:tailEnd type="arrow" w="lg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83770520"/>
        <c:crosses val="autoZero"/>
        <c:crossBetween val="midCat"/>
      </c:valAx>
      <c:valAx>
        <c:axId val="583770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Y</a:t>
                </a:r>
                <a:endParaRPr lang="ru-RU" sz="1600" b="1"/>
              </a:p>
            </c:rich>
          </c:tx>
          <c:layout>
            <c:manualLayout>
              <c:xMode val="edge"/>
              <c:yMode val="edge"/>
              <c:x val="0.47937894226103833"/>
              <c:y val="9.503262473870155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  <a:headEnd w="lg" len="lg"/>
            <a:tailEnd type="arrow" w="lg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83773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y=|-5(x)^2+bx+c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3.5573856546620194E-2"/>
          <c:y val="0.21004945598417407"/>
          <c:w val="0.91292887569381698"/>
          <c:h val="0.6582462207060912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'Задание 2.1'!$A$48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'Задание 2.1'!$B$47:$AC$47</c:f>
              <c:numCache>
                <c:formatCode>General</c:formatCode>
                <c:ptCount val="28"/>
                <c:pt idx="0">
                  <c:v>-20</c:v>
                </c:pt>
                <c:pt idx="1">
                  <c:v>-18.5</c:v>
                </c:pt>
                <c:pt idx="2">
                  <c:v>-17</c:v>
                </c:pt>
                <c:pt idx="3">
                  <c:v>-15.5</c:v>
                </c:pt>
                <c:pt idx="4">
                  <c:v>-14</c:v>
                </c:pt>
                <c:pt idx="5">
                  <c:v>-12.5</c:v>
                </c:pt>
                <c:pt idx="6">
                  <c:v>-11</c:v>
                </c:pt>
                <c:pt idx="7">
                  <c:v>-9.5</c:v>
                </c:pt>
                <c:pt idx="8">
                  <c:v>-8</c:v>
                </c:pt>
                <c:pt idx="9">
                  <c:v>-6.5</c:v>
                </c:pt>
                <c:pt idx="10">
                  <c:v>-5</c:v>
                </c:pt>
                <c:pt idx="11">
                  <c:v>-3.5</c:v>
                </c:pt>
                <c:pt idx="12">
                  <c:v>-2</c:v>
                </c:pt>
                <c:pt idx="13">
                  <c:v>-0.5</c:v>
                </c:pt>
                <c:pt idx="14">
                  <c:v>1</c:v>
                </c:pt>
                <c:pt idx="15">
                  <c:v>2.5</c:v>
                </c:pt>
                <c:pt idx="16">
                  <c:v>4</c:v>
                </c:pt>
                <c:pt idx="17">
                  <c:v>5.5</c:v>
                </c:pt>
                <c:pt idx="18">
                  <c:v>7</c:v>
                </c:pt>
                <c:pt idx="19">
                  <c:v>8.5</c:v>
                </c:pt>
                <c:pt idx="20">
                  <c:v>10</c:v>
                </c:pt>
                <c:pt idx="21">
                  <c:v>11.5</c:v>
                </c:pt>
                <c:pt idx="22">
                  <c:v>13</c:v>
                </c:pt>
                <c:pt idx="23">
                  <c:v>14.5</c:v>
                </c:pt>
                <c:pt idx="24">
                  <c:v>16</c:v>
                </c:pt>
                <c:pt idx="25">
                  <c:v>17.5</c:v>
                </c:pt>
                <c:pt idx="26">
                  <c:v>19</c:v>
                </c:pt>
                <c:pt idx="27">
                  <c:v>20.5</c:v>
                </c:pt>
              </c:numCache>
            </c:numRef>
          </c:xVal>
          <c:yVal>
            <c:numRef>
              <c:f>'Задание 2.1'!$B$48:$AC$48</c:f>
              <c:numCache>
                <c:formatCode>General</c:formatCode>
                <c:ptCount val="28"/>
                <c:pt idx="0">
                  <c:v>2140</c:v>
                </c:pt>
                <c:pt idx="1">
                  <c:v>1830.25</c:v>
                </c:pt>
                <c:pt idx="2">
                  <c:v>1543</c:v>
                </c:pt>
                <c:pt idx="3">
                  <c:v>1278.25</c:v>
                </c:pt>
                <c:pt idx="4">
                  <c:v>1036</c:v>
                </c:pt>
                <c:pt idx="5">
                  <c:v>816.25</c:v>
                </c:pt>
                <c:pt idx="6">
                  <c:v>619</c:v>
                </c:pt>
                <c:pt idx="7">
                  <c:v>444.25</c:v>
                </c:pt>
                <c:pt idx="8">
                  <c:v>292</c:v>
                </c:pt>
                <c:pt idx="9">
                  <c:v>162.25</c:v>
                </c:pt>
                <c:pt idx="10">
                  <c:v>55</c:v>
                </c:pt>
                <c:pt idx="11">
                  <c:v>29.75</c:v>
                </c:pt>
                <c:pt idx="12">
                  <c:v>92</c:v>
                </c:pt>
                <c:pt idx="13">
                  <c:v>131.75</c:v>
                </c:pt>
                <c:pt idx="14">
                  <c:v>149</c:v>
                </c:pt>
                <c:pt idx="15">
                  <c:v>143.75</c:v>
                </c:pt>
                <c:pt idx="16">
                  <c:v>116</c:v>
                </c:pt>
                <c:pt idx="17">
                  <c:v>65.75</c:v>
                </c:pt>
                <c:pt idx="18">
                  <c:v>7</c:v>
                </c:pt>
                <c:pt idx="19">
                  <c:v>102.25</c:v>
                </c:pt>
                <c:pt idx="20">
                  <c:v>220</c:v>
                </c:pt>
                <c:pt idx="21">
                  <c:v>360.25</c:v>
                </c:pt>
                <c:pt idx="22">
                  <c:v>523</c:v>
                </c:pt>
                <c:pt idx="23">
                  <c:v>708.25</c:v>
                </c:pt>
                <c:pt idx="24">
                  <c:v>916</c:v>
                </c:pt>
                <c:pt idx="25">
                  <c:v>1146.25</c:v>
                </c:pt>
                <c:pt idx="26">
                  <c:v>1399</c:v>
                </c:pt>
                <c:pt idx="27">
                  <c:v>1674.25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D8-4FE0-8B48-AFF464E58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182400"/>
        <c:axId val="551183384"/>
      </c:scatterChart>
      <c:valAx>
        <c:axId val="551182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 b="1"/>
                  <a:t>Х</a:t>
                </a:r>
              </a:p>
            </c:rich>
          </c:tx>
          <c:layout>
            <c:manualLayout>
              <c:xMode val="edge"/>
              <c:yMode val="edge"/>
              <c:x val="0.9623005894754959"/>
              <c:y val="0.845341246290801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  <a:headEnd w="lg" len="lg"/>
            <a:tailEnd type="arrow" w="lg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183384"/>
        <c:crosses val="autoZero"/>
        <c:crossBetween val="midCat"/>
      </c:valAx>
      <c:valAx>
        <c:axId val="551183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Y</a:t>
                </a:r>
                <a:endParaRPr lang="ru-RU" sz="1400" b="1"/>
              </a:p>
            </c:rich>
          </c:tx>
          <c:layout>
            <c:manualLayout>
              <c:xMode val="edge"/>
              <c:yMode val="edge"/>
              <c:x val="0.47650273224043715"/>
              <c:y val="0.135611579709806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  <a:headEnd w="lg" len="lg"/>
            <a:tailEnd type="arrow" w="lg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1182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</a:t>
            </a:r>
            <a:r>
              <a:rPr lang="en-US" baseline="0"/>
              <a:t> = log</a:t>
            </a:r>
            <a:r>
              <a:rPr lang="en-US" sz="1200" baseline="0"/>
              <a:t>a</a:t>
            </a:r>
            <a:r>
              <a:rPr lang="en-US" sz="1400" baseline="0"/>
              <a:t>b</a:t>
            </a:r>
            <a:endParaRPr lang="en-US"/>
          </a:p>
        </c:rich>
      </c:tx>
      <c:layout>
        <c:manualLayout>
          <c:xMode val="edge"/>
          <c:yMode val="edge"/>
          <c:x val="0.38261540337574829"/>
          <c:y val="6.6889632107023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3.9749785230724546E-2"/>
          <c:y val="0.28133779264214048"/>
          <c:w val="0.91831437289426776"/>
          <c:h val="0.6148126300265978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'Задание 2.1'!$A$68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'Задание 2.1'!$B$67:$N$67</c:f>
              <c:numCache>
                <c:formatCode>General</c:formatCode>
                <c:ptCount val="13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</c:numCache>
            </c:numRef>
          </c:xVal>
          <c:yVal>
            <c:numRef>
              <c:f>'Задание 2.1'!$B$68:$N$68</c:f>
              <c:numCache>
                <c:formatCode>General</c:formatCode>
                <c:ptCount val="13"/>
                <c:pt idx="0">
                  <c:v>0.9350799290239028</c:v>
                </c:pt>
                <c:pt idx="1">
                  <c:v>0.9350799290239028</c:v>
                </c:pt>
                <c:pt idx="2">
                  <c:v>0.9350799290239028</c:v>
                </c:pt>
                <c:pt idx="3">
                  <c:v>0.9350799290239028</c:v>
                </c:pt>
                <c:pt idx="4">
                  <c:v>0.9350799290239028</c:v>
                </c:pt>
                <c:pt idx="5">
                  <c:v>0.9350799290239028</c:v>
                </c:pt>
                <c:pt idx="6">
                  <c:v>0.9350799290239028</c:v>
                </c:pt>
                <c:pt idx="7">
                  <c:v>0.9350799290239028</c:v>
                </c:pt>
                <c:pt idx="8">
                  <c:v>0.9350799290239028</c:v>
                </c:pt>
                <c:pt idx="9">
                  <c:v>0.9350799290239028</c:v>
                </c:pt>
                <c:pt idx="10">
                  <c:v>0.9350799290239028</c:v>
                </c:pt>
                <c:pt idx="11">
                  <c:v>0.9350799290239028</c:v>
                </c:pt>
                <c:pt idx="12">
                  <c:v>0.9350799290239028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D0-4644-AB18-F6D96562B2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5874176"/>
        <c:axId val="485874832"/>
      </c:scatterChart>
      <c:valAx>
        <c:axId val="48587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400" b="1"/>
                  <a:t>Х</a:t>
                </a:r>
              </a:p>
            </c:rich>
          </c:tx>
          <c:layout>
            <c:manualLayout>
              <c:xMode val="edge"/>
              <c:yMode val="edge"/>
              <c:x val="0.96133142564324592"/>
              <c:y val="0.852875464145577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  <a:headEnd w="lg" len="lg"/>
            <a:tailEnd type="arrow" w="lg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5874832"/>
        <c:crosses val="autoZero"/>
        <c:crossBetween val="midCat"/>
      </c:valAx>
      <c:valAx>
        <c:axId val="48587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Y</a:t>
                </a:r>
                <a:endParaRPr lang="ru-RU" sz="1400" b="1"/>
              </a:p>
            </c:rich>
          </c:tx>
          <c:layout>
            <c:manualLayout>
              <c:xMode val="edge"/>
              <c:yMode val="edge"/>
              <c:x val="0.42184111047019057"/>
              <c:y val="0.190631940238239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  <a:headEnd w="lg" len="lg"/>
            <a:tailEnd type="arrow" w="lg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5874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z= x^2+y^2</a:t>
            </a:r>
            <a:endParaRPr lang="ru-RU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'Задание 2.2'!$B$1</c:f>
              <c:strCache>
                <c:ptCount val="1"/>
                <c:pt idx="0">
                  <c:v>-7,5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numRef>
              <c:f>'Задание 2.2'!$A$2:$A$21</c:f>
              <c:numCache>
                <c:formatCode>General</c:formatCode>
                <c:ptCount val="20"/>
                <c:pt idx="0">
                  <c:v>-4</c:v>
                </c:pt>
                <c:pt idx="1">
                  <c:v>-3.5</c:v>
                </c:pt>
                <c:pt idx="2">
                  <c:v>-3</c:v>
                </c:pt>
                <c:pt idx="3">
                  <c:v>-2.5</c:v>
                </c:pt>
                <c:pt idx="4">
                  <c:v>-2</c:v>
                </c:pt>
                <c:pt idx="5">
                  <c:v>-1.5</c:v>
                </c:pt>
                <c:pt idx="6">
                  <c:v>-1</c:v>
                </c:pt>
                <c:pt idx="7">
                  <c:v>-0.5</c:v>
                </c:pt>
                <c:pt idx="8">
                  <c:v>0</c:v>
                </c:pt>
                <c:pt idx="9">
                  <c:v>0.5</c:v>
                </c:pt>
                <c:pt idx="10">
                  <c:v>1</c:v>
                </c:pt>
                <c:pt idx="11">
                  <c:v>1.5</c:v>
                </c:pt>
                <c:pt idx="12">
                  <c:v>2</c:v>
                </c:pt>
                <c:pt idx="13">
                  <c:v>2.5</c:v>
                </c:pt>
                <c:pt idx="14">
                  <c:v>3</c:v>
                </c:pt>
                <c:pt idx="15">
                  <c:v>3.5</c:v>
                </c:pt>
                <c:pt idx="16">
                  <c:v>4</c:v>
                </c:pt>
                <c:pt idx="17">
                  <c:v>4.5</c:v>
                </c:pt>
                <c:pt idx="18">
                  <c:v>5</c:v>
                </c:pt>
                <c:pt idx="19">
                  <c:v>5.5</c:v>
                </c:pt>
              </c:numCache>
            </c:numRef>
          </c:cat>
          <c:val>
            <c:numRef>
              <c:f>'Задание 2.2'!$B$2:$B$21</c:f>
              <c:numCache>
                <c:formatCode>General</c:formatCode>
                <c:ptCount val="20"/>
                <c:pt idx="0">
                  <c:v>72.25</c:v>
                </c:pt>
                <c:pt idx="1">
                  <c:v>68.5</c:v>
                </c:pt>
                <c:pt idx="2">
                  <c:v>65.25</c:v>
                </c:pt>
                <c:pt idx="3">
                  <c:v>62.5</c:v>
                </c:pt>
                <c:pt idx="4">
                  <c:v>60.25</c:v>
                </c:pt>
                <c:pt idx="5">
                  <c:v>58.5</c:v>
                </c:pt>
                <c:pt idx="6">
                  <c:v>57.25</c:v>
                </c:pt>
                <c:pt idx="7">
                  <c:v>56.5</c:v>
                </c:pt>
                <c:pt idx="8">
                  <c:v>56.25</c:v>
                </c:pt>
                <c:pt idx="9">
                  <c:v>56.5</c:v>
                </c:pt>
                <c:pt idx="10">
                  <c:v>57.25</c:v>
                </c:pt>
                <c:pt idx="11">
                  <c:v>58.5</c:v>
                </c:pt>
                <c:pt idx="12">
                  <c:v>60.25</c:v>
                </c:pt>
                <c:pt idx="13">
                  <c:v>62.5</c:v>
                </c:pt>
                <c:pt idx="14">
                  <c:v>65.25</c:v>
                </c:pt>
                <c:pt idx="15">
                  <c:v>68.5</c:v>
                </c:pt>
                <c:pt idx="16">
                  <c:v>72.25</c:v>
                </c:pt>
                <c:pt idx="17">
                  <c:v>76.5</c:v>
                </c:pt>
                <c:pt idx="18">
                  <c:v>81.25</c:v>
                </c:pt>
                <c:pt idx="19">
                  <c:v>86.5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E4-46FF-94C0-1DAEF03FBC26}"/>
            </c:ext>
          </c:extLst>
        </c:ser>
        <c:ser>
          <c:idx val="1"/>
          <c:order val="1"/>
          <c:tx>
            <c:strRef>
              <c:f>'Задание 2.2'!$C$1</c:f>
              <c:strCache>
                <c:ptCount val="1"/>
                <c:pt idx="0">
                  <c:v>-6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numRef>
              <c:f>'Задание 2.2'!$A$2:$A$21</c:f>
              <c:numCache>
                <c:formatCode>General</c:formatCode>
                <c:ptCount val="20"/>
                <c:pt idx="0">
                  <c:v>-4</c:v>
                </c:pt>
                <c:pt idx="1">
                  <c:v>-3.5</c:v>
                </c:pt>
                <c:pt idx="2">
                  <c:v>-3</c:v>
                </c:pt>
                <c:pt idx="3">
                  <c:v>-2.5</c:v>
                </c:pt>
                <c:pt idx="4">
                  <c:v>-2</c:v>
                </c:pt>
                <c:pt idx="5">
                  <c:v>-1.5</c:v>
                </c:pt>
                <c:pt idx="6">
                  <c:v>-1</c:v>
                </c:pt>
                <c:pt idx="7">
                  <c:v>-0.5</c:v>
                </c:pt>
                <c:pt idx="8">
                  <c:v>0</c:v>
                </c:pt>
                <c:pt idx="9">
                  <c:v>0.5</c:v>
                </c:pt>
                <c:pt idx="10">
                  <c:v>1</c:v>
                </c:pt>
                <c:pt idx="11">
                  <c:v>1.5</c:v>
                </c:pt>
                <c:pt idx="12">
                  <c:v>2</c:v>
                </c:pt>
                <c:pt idx="13">
                  <c:v>2.5</c:v>
                </c:pt>
                <c:pt idx="14">
                  <c:v>3</c:v>
                </c:pt>
                <c:pt idx="15">
                  <c:v>3.5</c:v>
                </c:pt>
                <c:pt idx="16">
                  <c:v>4</c:v>
                </c:pt>
                <c:pt idx="17">
                  <c:v>4.5</c:v>
                </c:pt>
                <c:pt idx="18">
                  <c:v>5</c:v>
                </c:pt>
                <c:pt idx="19">
                  <c:v>5.5</c:v>
                </c:pt>
              </c:numCache>
            </c:numRef>
          </c:cat>
          <c:val>
            <c:numRef>
              <c:f>'Задание 2.2'!$C$2:$C$21</c:f>
              <c:numCache>
                <c:formatCode>General</c:formatCode>
                <c:ptCount val="20"/>
                <c:pt idx="0">
                  <c:v>52</c:v>
                </c:pt>
                <c:pt idx="1">
                  <c:v>48.25</c:v>
                </c:pt>
                <c:pt idx="2">
                  <c:v>45</c:v>
                </c:pt>
                <c:pt idx="3">
                  <c:v>42.25</c:v>
                </c:pt>
                <c:pt idx="4">
                  <c:v>40</c:v>
                </c:pt>
                <c:pt idx="5">
                  <c:v>38.25</c:v>
                </c:pt>
                <c:pt idx="6">
                  <c:v>37</c:v>
                </c:pt>
                <c:pt idx="7">
                  <c:v>36.25</c:v>
                </c:pt>
                <c:pt idx="8">
                  <c:v>36</c:v>
                </c:pt>
                <c:pt idx="9">
                  <c:v>36.25</c:v>
                </c:pt>
                <c:pt idx="10">
                  <c:v>37</c:v>
                </c:pt>
                <c:pt idx="11">
                  <c:v>38.25</c:v>
                </c:pt>
                <c:pt idx="12">
                  <c:v>40</c:v>
                </c:pt>
                <c:pt idx="13">
                  <c:v>42.25</c:v>
                </c:pt>
                <c:pt idx="14">
                  <c:v>45</c:v>
                </c:pt>
                <c:pt idx="15">
                  <c:v>48.25</c:v>
                </c:pt>
                <c:pt idx="16">
                  <c:v>52</c:v>
                </c:pt>
                <c:pt idx="17">
                  <c:v>56.25</c:v>
                </c:pt>
                <c:pt idx="18">
                  <c:v>61</c:v>
                </c:pt>
                <c:pt idx="19">
                  <c:v>66.25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E4-46FF-94C0-1DAEF03FBC26}"/>
            </c:ext>
          </c:extLst>
        </c:ser>
        <c:ser>
          <c:idx val="2"/>
          <c:order val="2"/>
          <c:tx>
            <c:strRef>
              <c:f>'Задание 2.2'!$D$1</c:f>
              <c:strCache>
                <c:ptCount val="1"/>
                <c:pt idx="0">
                  <c:v>-4,5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numRef>
              <c:f>'Задание 2.2'!$A$2:$A$21</c:f>
              <c:numCache>
                <c:formatCode>General</c:formatCode>
                <c:ptCount val="20"/>
                <c:pt idx="0">
                  <c:v>-4</c:v>
                </c:pt>
                <c:pt idx="1">
                  <c:v>-3.5</c:v>
                </c:pt>
                <c:pt idx="2">
                  <c:v>-3</c:v>
                </c:pt>
                <c:pt idx="3">
                  <c:v>-2.5</c:v>
                </c:pt>
                <c:pt idx="4">
                  <c:v>-2</c:v>
                </c:pt>
                <c:pt idx="5">
                  <c:v>-1.5</c:v>
                </c:pt>
                <c:pt idx="6">
                  <c:v>-1</c:v>
                </c:pt>
                <c:pt idx="7">
                  <c:v>-0.5</c:v>
                </c:pt>
                <c:pt idx="8">
                  <c:v>0</c:v>
                </c:pt>
                <c:pt idx="9">
                  <c:v>0.5</c:v>
                </c:pt>
                <c:pt idx="10">
                  <c:v>1</c:v>
                </c:pt>
                <c:pt idx="11">
                  <c:v>1.5</c:v>
                </c:pt>
                <c:pt idx="12">
                  <c:v>2</c:v>
                </c:pt>
                <c:pt idx="13">
                  <c:v>2.5</c:v>
                </c:pt>
                <c:pt idx="14">
                  <c:v>3</c:v>
                </c:pt>
                <c:pt idx="15">
                  <c:v>3.5</c:v>
                </c:pt>
                <c:pt idx="16">
                  <c:v>4</c:v>
                </c:pt>
                <c:pt idx="17">
                  <c:v>4.5</c:v>
                </c:pt>
                <c:pt idx="18">
                  <c:v>5</c:v>
                </c:pt>
                <c:pt idx="19">
                  <c:v>5.5</c:v>
                </c:pt>
              </c:numCache>
            </c:numRef>
          </c:cat>
          <c:val>
            <c:numRef>
              <c:f>'Задание 2.2'!$D$2:$D$21</c:f>
              <c:numCache>
                <c:formatCode>General</c:formatCode>
                <c:ptCount val="20"/>
                <c:pt idx="0">
                  <c:v>36.25</c:v>
                </c:pt>
                <c:pt idx="1">
                  <c:v>32.5</c:v>
                </c:pt>
                <c:pt idx="2">
                  <c:v>29.25</c:v>
                </c:pt>
                <c:pt idx="3">
                  <c:v>26.5</c:v>
                </c:pt>
                <c:pt idx="4">
                  <c:v>24.25</c:v>
                </c:pt>
                <c:pt idx="5">
                  <c:v>22.5</c:v>
                </c:pt>
                <c:pt idx="6">
                  <c:v>21.25</c:v>
                </c:pt>
                <c:pt idx="7">
                  <c:v>20.5</c:v>
                </c:pt>
                <c:pt idx="8">
                  <c:v>20.25</c:v>
                </c:pt>
                <c:pt idx="9">
                  <c:v>20.5</c:v>
                </c:pt>
                <c:pt idx="10">
                  <c:v>21.25</c:v>
                </c:pt>
                <c:pt idx="11">
                  <c:v>22.5</c:v>
                </c:pt>
                <c:pt idx="12">
                  <c:v>24.25</c:v>
                </c:pt>
                <c:pt idx="13">
                  <c:v>26.5</c:v>
                </c:pt>
                <c:pt idx="14">
                  <c:v>29.25</c:v>
                </c:pt>
                <c:pt idx="15">
                  <c:v>32.5</c:v>
                </c:pt>
                <c:pt idx="16">
                  <c:v>36.25</c:v>
                </c:pt>
                <c:pt idx="17">
                  <c:v>40.5</c:v>
                </c:pt>
                <c:pt idx="18">
                  <c:v>45.25</c:v>
                </c:pt>
                <c:pt idx="19">
                  <c:v>50.5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E4-46FF-94C0-1DAEF03FBC26}"/>
            </c:ext>
          </c:extLst>
        </c:ser>
        <c:ser>
          <c:idx val="3"/>
          <c:order val="3"/>
          <c:tx>
            <c:strRef>
              <c:f>'Задание 2.2'!$E$1</c:f>
              <c:strCache>
                <c:ptCount val="1"/>
                <c:pt idx="0">
                  <c:v>-3</c:v>
                </c:pt>
              </c:strCache>
            </c:strRef>
          </c:tx>
          <c:spPr>
            <a:solidFill>
              <a:schemeClr val="accent4"/>
            </a:solidFill>
            <a:ln/>
            <a:effectLst/>
            <a:sp3d/>
          </c:spPr>
          <c:cat>
            <c:numRef>
              <c:f>'Задание 2.2'!$A$2:$A$21</c:f>
              <c:numCache>
                <c:formatCode>General</c:formatCode>
                <c:ptCount val="20"/>
                <c:pt idx="0">
                  <c:v>-4</c:v>
                </c:pt>
                <c:pt idx="1">
                  <c:v>-3.5</c:v>
                </c:pt>
                <c:pt idx="2">
                  <c:v>-3</c:v>
                </c:pt>
                <c:pt idx="3">
                  <c:v>-2.5</c:v>
                </c:pt>
                <c:pt idx="4">
                  <c:v>-2</c:v>
                </c:pt>
                <c:pt idx="5">
                  <c:v>-1.5</c:v>
                </c:pt>
                <c:pt idx="6">
                  <c:v>-1</c:v>
                </c:pt>
                <c:pt idx="7">
                  <c:v>-0.5</c:v>
                </c:pt>
                <c:pt idx="8">
                  <c:v>0</c:v>
                </c:pt>
                <c:pt idx="9">
                  <c:v>0.5</c:v>
                </c:pt>
                <c:pt idx="10">
                  <c:v>1</c:v>
                </c:pt>
                <c:pt idx="11">
                  <c:v>1.5</c:v>
                </c:pt>
                <c:pt idx="12">
                  <c:v>2</c:v>
                </c:pt>
                <c:pt idx="13">
                  <c:v>2.5</c:v>
                </c:pt>
                <c:pt idx="14">
                  <c:v>3</c:v>
                </c:pt>
                <c:pt idx="15">
                  <c:v>3.5</c:v>
                </c:pt>
                <c:pt idx="16">
                  <c:v>4</c:v>
                </c:pt>
                <c:pt idx="17">
                  <c:v>4.5</c:v>
                </c:pt>
                <c:pt idx="18">
                  <c:v>5</c:v>
                </c:pt>
                <c:pt idx="19">
                  <c:v>5.5</c:v>
                </c:pt>
              </c:numCache>
            </c:numRef>
          </c:cat>
          <c:val>
            <c:numRef>
              <c:f>'Задание 2.2'!$E$2:$E$21</c:f>
              <c:numCache>
                <c:formatCode>General</c:formatCode>
                <c:ptCount val="20"/>
                <c:pt idx="0">
                  <c:v>25</c:v>
                </c:pt>
                <c:pt idx="1">
                  <c:v>21.25</c:v>
                </c:pt>
                <c:pt idx="2">
                  <c:v>18</c:v>
                </c:pt>
                <c:pt idx="3">
                  <c:v>15.25</c:v>
                </c:pt>
                <c:pt idx="4">
                  <c:v>13</c:v>
                </c:pt>
                <c:pt idx="5">
                  <c:v>11.25</c:v>
                </c:pt>
                <c:pt idx="6">
                  <c:v>10</c:v>
                </c:pt>
                <c:pt idx="7">
                  <c:v>9.25</c:v>
                </c:pt>
                <c:pt idx="8">
                  <c:v>9</c:v>
                </c:pt>
                <c:pt idx="9">
                  <c:v>9.25</c:v>
                </c:pt>
                <c:pt idx="10">
                  <c:v>10</c:v>
                </c:pt>
                <c:pt idx="11">
                  <c:v>11.25</c:v>
                </c:pt>
                <c:pt idx="12">
                  <c:v>13</c:v>
                </c:pt>
                <c:pt idx="13">
                  <c:v>15.25</c:v>
                </c:pt>
                <c:pt idx="14">
                  <c:v>18</c:v>
                </c:pt>
                <c:pt idx="15">
                  <c:v>21.25</c:v>
                </c:pt>
                <c:pt idx="16">
                  <c:v>25</c:v>
                </c:pt>
                <c:pt idx="17">
                  <c:v>29.25</c:v>
                </c:pt>
                <c:pt idx="18">
                  <c:v>34</c:v>
                </c:pt>
                <c:pt idx="19">
                  <c:v>39.25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E4-46FF-94C0-1DAEF03FBC26}"/>
            </c:ext>
          </c:extLst>
        </c:ser>
        <c:ser>
          <c:idx val="4"/>
          <c:order val="4"/>
          <c:tx>
            <c:strRef>
              <c:f>'Задание 2.2'!$F$1</c:f>
              <c:strCache>
                <c:ptCount val="1"/>
                <c:pt idx="0">
                  <c:v>-1,5</c:v>
                </c:pt>
              </c:strCache>
            </c:strRef>
          </c:tx>
          <c:spPr>
            <a:solidFill>
              <a:schemeClr val="accent5"/>
            </a:solidFill>
            <a:ln/>
            <a:effectLst/>
            <a:sp3d/>
          </c:spPr>
          <c:cat>
            <c:numRef>
              <c:f>'Задание 2.2'!$A$2:$A$21</c:f>
              <c:numCache>
                <c:formatCode>General</c:formatCode>
                <c:ptCount val="20"/>
                <c:pt idx="0">
                  <c:v>-4</c:v>
                </c:pt>
                <c:pt idx="1">
                  <c:v>-3.5</c:v>
                </c:pt>
                <c:pt idx="2">
                  <c:v>-3</c:v>
                </c:pt>
                <c:pt idx="3">
                  <c:v>-2.5</c:v>
                </c:pt>
                <c:pt idx="4">
                  <c:v>-2</c:v>
                </c:pt>
                <c:pt idx="5">
                  <c:v>-1.5</c:v>
                </c:pt>
                <c:pt idx="6">
                  <c:v>-1</c:v>
                </c:pt>
                <c:pt idx="7">
                  <c:v>-0.5</c:v>
                </c:pt>
                <c:pt idx="8">
                  <c:v>0</c:v>
                </c:pt>
                <c:pt idx="9">
                  <c:v>0.5</c:v>
                </c:pt>
                <c:pt idx="10">
                  <c:v>1</c:v>
                </c:pt>
                <c:pt idx="11">
                  <c:v>1.5</c:v>
                </c:pt>
                <c:pt idx="12">
                  <c:v>2</c:v>
                </c:pt>
                <c:pt idx="13">
                  <c:v>2.5</c:v>
                </c:pt>
                <c:pt idx="14">
                  <c:v>3</c:v>
                </c:pt>
                <c:pt idx="15">
                  <c:v>3.5</c:v>
                </c:pt>
                <c:pt idx="16">
                  <c:v>4</c:v>
                </c:pt>
                <c:pt idx="17">
                  <c:v>4.5</c:v>
                </c:pt>
                <c:pt idx="18">
                  <c:v>5</c:v>
                </c:pt>
                <c:pt idx="19">
                  <c:v>5.5</c:v>
                </c:pt>
              </c:numCache>
            </c:numRef>
          </c:cat>
          <c:val>
            <c:numRef>
              <c:f>'Задание 2.2'!$F$2:$F$21</c:f>
              <c:numCache>
                <c:formatCode>General</c:formatCode>
                <c:ptCount val="20"/>
                <c:pt idx="0">
                  <c:v>18.25</c:v>
                </c:pt>
                <c:pt idx="1">
                  <c:v>14.5</c:v>
                </c:pt>
                <c:pt idx="2">
                  <c:v>11.25</c:v>
                </c:pt>
                <c:pt idx="3">
                  <c:v>8.5</c:v>
                </c:pt>
                <c:pt idx="4">
                  <c:v>6.25</c:v>
                </c:pt>
                <c:pt idx="5">
                  <c:v>4.5</c:v>
                </c:pt>
                <c:pt idx="6">
                  <c:v>3.25</c:v>
                </c:pt>
                <c:pt idx="7">
                  <c:v>2.5</c:v>
                </c:pt>
                <c:pt idx="8">
                  <c:v>2.25</c:v>
                </c:pt>
                <c:pt idx="9">
                  <c:v>2.5</c:v>
                </c:pt>
                <c:pt idx="10">
                  <c:v>3.25</c:v>
                </c:pt>
                <c:pt idx="11">
                  <c:v>4.5</c:v>
                </c:pt>
                <c:pt idx="12">
                  <c:v>6.25</c:v>
                </c:pt>
                <c:pt idx="13">
                  <c:v>8.5</c:v>
                </c:pt>
                <c:pt idx="14">
                  <c:v>11.25</c:v>
                </c:pt>
                <c:pt idx="15">
                  <c:v>14.5</c:v>
                </c:pt>
                <c:pt idx="16">
                  <c:v>18.25</c:v>
                </c:pt>
                <c:pt idx="17">
                  <c:v>22.5</c:v>
                </c:pt>
                <c:pt idx="18">
                  <c:v>27.25</c:v>
                </c:pt>
                <c:pt idx="19">
                  <c:v>32.5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2E4-46FF-94C0-1DAEF03FBC26}"/>
            </c:ext>
          </c:extLst>
        </c:ser>
        <c:ser>
          <c:idx val="5"/>
          <c:order val="5"/>
          <c:tx>
            <c:strRef>
              <c:f>'Задание 2.2'!$G$1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/>
            </a:solidFill>
            <a:ln/>
            <a:effectLst/>
            <a:sp3d/>
          </c:spPr>
          <c:cat>
            <c:numRef>
              <c:f>'Задание 2.2'!$A$2:$A$21</c:f>
              <c:numCache>
                <c:formatCode>General</c:formatCode>
                <c:ptCount val="20"/>
                <c:pt idx="0">
                  <c:v>-4</c:v>
                </c:pt>
                <c:pt idx="1">
                  <c:v>-3.5</c:v>
                </c:pt>
                <c:pt idx="2">
                  <c:v>-3</c:v>
                </c:pt>
                <c:pt idx="3">
                  <c:v>-2.5</c:v>
                </c:pt>
                <c:pt idx="4">
                  <c:v>-2</c:v>
                </c:pt>
                <c:pt idx="5">
                  <c:v>-1.5</c:v>
                </c:pt>
                <c:pt idx="6">
                  <c:v>-1</c:v>
                </c:pt>
                <c:pt idx="7">
                  <c:v>-0.5</c:v>
                </c:pt>
                <c:pt idx="8">
                  <c:v>0</c:v>
                </c:pt>
                <c:pt idx="9">
                  <c:v>0.5</c:v>
                </c:pt>
                <c:pt idx="10">
                  <c:v>1</c:v>
                </c:pt>
                <c:pt idx="11">
                  <c:v>1.5</c:v>
                </c:pt>
                <c:pt idx="12">
                  <c:v>2</c:v>
                </c:pt>
                <c:pt idx="13">
                  <c:v>2.5</c:v>
                </c:pt>
                <c:pt idx="14">
                  <c:v>3</c:v>
                </c:pt>
                <c:pt idx="15">
                  <c:v>3.5</c:v>
                </c:pt>
                <c:pt idx="16">
                  <c:v>4</c:v>
                </c:pt>
                <c:pt idx="17">
                  <c:v>4.5</c:v>
                </c:pt>
                <c:pt idx="18">
                  <c:v>5</c:v>
                </c:pt>
                <c:pt idx="19">
                  <c:v>5.5</c:v>
                </c:pt>
              </c:numCache>
            </c:numRef>
          </c:cat>
          <c:val>
            <c:numRef>
              <c:f>'Задание 2.2'!$G$2:$G$21</c:f>
              <c:numCache>
                <c:formatCode>General</c:formatCode>
                <c:ptCount val="20"/>
                <c:pt idx="0">
                  <c:v>16</c:v>
                </c:pt>
                <c:pt idx="1">
                  <c:v>12.25</c:v>
                </c:pt>
                <c:pt idx="2">
                  <c:v>9</c:v>
                </c:pt>
                <c:pt idx="3">
                  <c:v>6.25</c:v>
                </c:pt>
                <c:pt idx="4">
                  <c:v>4</c:v>
                </c:pt>
                <c:pt idx="5">
                  <c:v>2.25</c:v>
                </c:pt>
                <c:pt idx="6">
                  <c:v>1</c:v>
                </c:pt>
                <c:pt idx="7">
                  <c:v>0.25</c:v>
                </c:pt>
                <c:pt idx="8">
                  <c:v>0</c:v>
                </c:pt>
                <c:pt idx="9">
                  <c:v>0.25</c:v>
                </c:pt>
                <c:pt idx="10">
                  <c:v>1</c:v>
                </c:pt>
                <c:pt idx="11">
                  <c:v>2.25</c:v>
                </c:pt>
                <c:pt idx="12">
                  <c:v>4</c:v>
                </c:pt>
                <c:pt idx="13">
                  <c:v>6.25</c:v>
                </c:pt>
                <c:pt idx="14">
                  <c:v>9</c:v>
                </c:pt>
                <c:pt idx="15">
                  <c:v>12.25</c:v>
                </c:pt>
                <c:pt idx="16">
                  <c:v>16</c:v>
                </c:pt>
                <c:pt idx="17">
                  <c:v>20.25</c:v>
                </c:pt>
                <c:pt idx="18">
                  <c:v>25</c:v>
                </c:pt>
                <c:pt idx="19">
                  <c:v>30.25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2E4-46FF-94C0-1DAEF03FBC26}"/>
            </c:ext>
          </c:extLst>
        </c:ser>
        <c:ser>
          <c:idx val="6"/>
          <c:order val="6"/>
          <c:tx>
            <c:strRef>
              <c:f>'Задание 2.2'!$H$1</c:f>
              <c:strCache>
                <c:ptCount val="1"/>
                <c:pt idx="0">
                  <c:v>1,5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cat>
            <c:numRef>
              <c:f>'Задание 2.2'!$A$2:$A$21</c:f>
              <c:numCache>
                <c:formatCode>General</c:formatCode>
                <c:ptCount val="20"/>
                <c:pt idx="0">
                  <c:v>-4</c:v>
                </c:pt>
                <c:pt idx="1">
                  <c:v>-3.5</c:v>
                </c:pt>
                <c:pt idx="2">
                  <c:v>-3</c:v>
                </c:pt>
                <c:pt idx="3">
                  <c:v>-2.5</c:v>
                </c:pt>
                <c:pt idx="4">
                  <c:v>-2</c:v>
                </c:pt>
                <c:pt idx="5">
                  <c:v>-1.5</c:v>
                </c:pt>
                <c:pt idx="6">
                  <c:v>-1</c:v>
                </c:pt>
                <c:pt idx="7">
                  <c:v>-0.5</c:v>
                </c:pt>
                <c:pt idx="8">
                  <c:v>0</c:v>
                </c:pt>
                <c:pt idx="9">
                  <c:v>0.5</c:v>
                </c:pt>
                <c:pt idx="10">
                  <c:v>1</c:v>
                </c:pt>
                <c:pt idx="11">
                  <c:v>1.5</c:v>
                </c:pt>
                <c:pt idx="12">
                  <c:v>2</c:v>
                </c:pt>
                <c:pt idx="13">
                  <c:v>2.5</c:v>
                </c:pt>
                <c:pt idx="14">
                  <c:v>3</c:v>
                </c:pt>
                <c:pt idx="15">
                  <c:v>3.5</c:v>
                </c:pt>
                <c:pt idx="16">
                  <c:v>4</c:v>
                </c:pt>
                <c:pt idx="17">
                  <c:v>4.5</c:v>
                </c:pt>
                <c:pt idx="18">
                  <c:v>5</c:v>
                </c:pt>
                <c:pt idx="19">
                  <c:v>5.5</c:v>
                </c:pt>
              </c:numCache>
            </c:numRef>
          </c:cat>
          <c:val>
            <c:numRef>
              <c:f>'Задание 2.2'!$H$2:$H$21</c:f>
              <c:numCache>
                <c:formatCode>General</c:formatCode>
                <c:ptCount val="20"/>
                <c:pt idx="0">
                  <c:v>18.25</c:v>
                </c:pt>
                <c:pt idx="1">
                  <c:v>14.5</c:v>
                </c:pt>
                <c:pt idx="2">
                  <c:v>11.25</c:v>
                </c:pt>
                <c:pt idx="3">
                  <c:v>8.5</c:v>
                </c:pt>
                <c:pt idx="4">
                  <c:v>6.25</c:v>
                </c:pt>
                <c:pt idx="5">
                  <c:v>4.5</c:v>
                </c:pt>
                <c:pt idx="6">
                  <c:v>3.25</c:v>
                </c:pt>
                <c:pt idx="7">
                  <c:v>2.5</c:v>
                </c:pt>
                <c:pt idx="8">
                  <c:v>2.25</c:v>
                </c:pt>
                <c:pt idx="9">
                  <c:v>2.5</c:v>
                </c:pt>
                <c:pt idx="10">
                  <c:v>3.25</c:v>
                </c:pt>
                <c:pt idx="11">
                  <c:v>4.5</c:v>
                </c:pt>
                <c:pt idx="12">
                  <c:v>6.25</c:v>
                </c:pt>
                <c:pt idx="13">
                  <c:v>8.5</c:v>
                </c:pt>
                <c:pt idx="14">
                  <c:v>11.25</c:v>
                </c:pt>
                <c:pt idx="15">
                  <c:v>14.5</c:v>
                </c:pt>
                <c:pt idx="16">
                  <c:v>18.25</c:v>
                </c:pt>
                <c:pt idx="17">
                  <c:v>22.5</c:v>
                </c:pt>
                <c:pt idx="18">
                  <c:v>27.25</c:v>
                </c:pt>
                <c:pt idx="19">
                  <c:v>32.5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2E4-46FF-94C0-1DAEF03FBC26}"/>
            </c:ext>
          </c:extLst>
        </c:ser>
        <c:ser>
          <c:idx val="7"/>
          <c:order val="7"/>
          <c:tx>
            <c:strRef>
              <c:f>'Задание 2.2'!$I$1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cat>
            <c:numRef>
              <c:f>'Задание 2.2'!$A$2:$A$21</c:f>
              <c:numCache>
                <c:formatCode>General</c:formatCode>
                <c:ptCount val="20"/>
                <c:pt idx="0">
                  <c:v>-4</c:v>
                </c:pt>
                <c:pt idx="1">
                  <c:v>-3.5</c:v>
                </c:pt>
                <c:pt idx="2">
                  <c:v>-3</c:v>
                </c:pt>
                <c:pt idx="3">
                  <c:v>-2.5</c:v>
                </c:pt>
                <c:pt idx="4">
                  <c:v>-2</c:v>
                </c:pt>
                <c:pt idx="5">
                  <c:v>-1.5</c:v>
                </c:pt>
                <c:pt idx="6">
                  <c:v>-1</c:v>
                </c:pt>
                <c:pt idx="7">
                  <c:v>-0.5</c:v>
                </c:pt>
                <c:pt idx="8">
                  <c:v>0</c:v>
                </c:pt>
                <c:pt idx="9">
                  <c:v>0.5</c:v>
                </c:pt>
                <c:pt idx="10">
                  <c:v>1</c:v>
                </c:pt>
                <c:pt idx="11">
                  <c:v>1.5</c:v>
                </c:pt>
                <c:pt idx="12">
                  <c:v>2</c:v>
                </c:pt>
                <c:pt idx="13">
                  <c:v>2.5</c:v>
                </c:pt>
                <c:pt idx="14">
                  <c:v>3</c:v>
                </c:pt>
                <c:pt idx="15">
                  <c:v>3.5</c:v>
                </c:pt>
                <c:pt idx="16">
                  <c:v>4</c:v>
                </c:pt>
                <c:pt idx="17">
                  <c:v>4.5</c:v>
                </c:pt>
                <c:pt idx="18">
                  <c:v>5</c:v>
                </c:pt>
                <c:pt idx="19">
                  <c:v>5.5</c:v>
                </c:pt>
              </c:numCache>
            </c:numRef>
          </c:cat>
          <c:val>
            <c:numRef>
              <c:f>'Задание 2.2'!$I$2:$I$21</c:f>
              <c:numCache>
                <c:formatCode>General</c:formatCode>
                <c:ptCount val="20"/>
                <c:pt idx="0">
                  <c:v>25</c:v>
                </c:pt>
                <c:pt idx="1">
                  <c:v>21.25</c:v>
                </c:pt>
                <c:pt idx="2">
                  <c:v>18</c:v>
                </c:pt>
                <c:pt idx="3">
                  <c:v>15.25</c:v>
                </c:pt>
                <c:pt idx="4">
                  <c:v>13</c:v>
                </c:pt>
                <c:pt idx="5">
                  <c:v>11.25</c:v>
                </c:pt>
                <c:pt idx="6">
                  <c:v>10</c:v>
                </c:pt>
                <c:pt idx="7">
                  <c:v>9.25</c:v>
                </c:pt>
                <c:pt idx="8">
                  <c:v>9</c:v>
                </c:pt>
                <c:pt idx="9">
                  <c:v>9.25</c:v>
                </c:pt>
                <c:pt idx="10">
                  <c:v>10</c:v>
                </c:pt>
                <c:pt idx="11">
                  <c:v>11.25</c:v>
                </c:pt>
                <c:pt idx="12">
                  <c:v>13</c:v>
                </c:pt>
                <c:pt idx="13">
                  <c:v>15.25</c:v>
                </c:pt>
                <c:pt idx="14">
                  <c:v>18</c:v>
                </c:pt>
                <c:pt idx="15">
                  <c:v>21.25</c:v>
                </c:pt>
                <c:pt idx="16">
                  <c:v>25</c:v>
                </c:pt>
                <c:pt idx="17">
                  <c:v>29.25</c:v>
                </c:pt>
                <c:pt idx="18">
                  <c:v>34</c:v>
                </c:pt>
                <c:pt idx="19">
                  <c:v>39.25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2E4-46FF-94C0-1DAEF03FBC26}"/>
            </c:ext>
          </c:extLst>
        </c:ser>
        <c:ser>
          <c:idx val="8"/>
          <c:order val="8"/>
          <c:tx>
            <c:strRef>
              <c:f>'Задание 2.2'!$J$1</c:f>
              <c:strCache>
                <c:ptCount val="1"/>
                <c:pt idx="0">
                  <c:v>4,5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cat>
            <c:numRef>
              <c:f>'Задание 2.2'!$A$2:$A$21</c:f>
              <c:numCache>
                <c:formatCode>General</c:formatCode>
                <c:ptCount val="20"/>
                <c:pt idx="0">
                  <c:v>-4</c:v>
                </c:pt>
                <c:pt idx="1">
                  <c:v>-3.5</c:v>
                </c:pt>
                <c:pt idx="2">
                  <c:v>-3</c:v>
                </c:pt>
                <c:pt idx="3">
                  <c:v>-2.5</c:v>
                </c:pt>
                <c:pt idx="4">
                  <c:v>-2</c:v>
                </c:pt>
                <c:pt idx="5">
                  <c:v>-1.5</c:v>
                </c:pt>
                <c:pt idx="6">
                  <c:v>-1</c:v>
                </c:pt>
                <c:pt idx="7">
                  <c:v>-0.5</c:v>
                </c:pt>
                <c:pt idx="8">
                  <c:v>0</c:v>
                </c:pt>
                <c:pt idx="9">
                  <c:v>0.5</c:v>
                </c:pt>
                <c:pt idx="10">
                  <c:v>1</c:v>
                </c:pt>
                <c:pt idx="11">
                  <c:v>1.5</c:v>
                </c:pt>
                <c:pt idx="12">
                  <c:v>2</c:v>
                </c:pt>
                <c:pt idx="13">
                  <c:v>2.5</c:v>
                </c:pt>
                <c:pt idx="14">
                  <c:v>3</c:v>
                </c:pt>
                <c:pt idx="15">
                  <c:v>3.5</c:v>
                </c:pt>
                <c:pt idx="16">
                  <c:v>4</c:v>
                </c:pt>
                <c:pt idx="17">
                  <c:v>4.5</c:v>
                </c:pt>
                <c:pt idx="18">
                  <c:v>5</c:v>
                </c:pt>
                <c:pt idx="19">
                  <c:v>5.5</c:v>
                </c:pt>
              </c:numCache>
            </c:numRef>
          </c:cat>
          <c:val>
            <c:numRef>
              <c:f>'Задание 2.2'!$J$2:$J$21</c:f>
              <c:numCache>
                <c:formatCode>General</c:formatCode>
                <c:ptCount val="20"/>
                <c:pt idx="0">
                  <c:v>36.25</c:v>
                </c:pt>
                <c:pt idx="1">
                  <c:v>32.5</c:v>
                </c:pt>
                <c:pt idx="2">
                  <c:v>29.25</c:v>
                </c:pt>
                <c:pt idx="3">
                  <c:v>26.5</c:v>
                </c:pt>
                <c:pt idx="4">
                  <c:v>24.25</c:v>
                </c:pt>
                <c:pt idx="5">
                  <c:v>22.5</c:v>
                </c:pt>
                <c:pt idx="6">
                  <c:v>21.25</c:v>
                </c:pt>
                <c:pt idx="7">
                  <c:v>20.5</c:v>
                </c:pt>
                <c:pt idx="8">
                  <c:v>20.25</c:v>
                </c:pt>
                <c:pt idx="9">
                  <c:v>20.5</c:v>
                </c:pt>
                <c:pt idx="10">
                  <c:v>21.25</c:v>
                </c:pt>
                <c:pt idx="11">
                  <c:v>22.5</c:v>
                </c:pt>
                <c:pt idx="12">
                  <c:v>24.25</c:v>
                </c:pt>
                <c:pt idx="13">
                  <c:v>26.5</c:v>
                </c:pt>
                <c:pt idx="14">
                  <c:v>29.25</c:v>
                </c:pt>
                <c:pt idx="15">
                  <c:v>32.5</c:v>
                </c:pt>
                <c:pt idx="16">
                  <c:v>36.25</c:v>
                </c:pt>
                <c:pt idx="17">
                  <c:v>40.5</c:v>
                </c:pt>
                <c:pt idx="18">
                  <c:v>45.25</c:v>
                </c:pt>
                <c:pt idx="19">
                  <c:v>50.5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2E4-46FF-94C0-1DAEF03FBC26}"/>
            </c:ext>
          </c:extLst>
        </c:ser>
        <c:ser>
          <c:idx val="9"/>
          <c:order val="9"/>
          <c:tx>
            <c:strRef>
              <c:f>'Задание 2.2'!$K$1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cat>
            <c:numRef>
              <c:f>'Задание 2.2'!$A$2:$A$21</c:f>
              <c:numCache>
                <c:formatCode>General</c:formatCode>
                <c:ptCount val="20"/>
                <c:pt idx="0">
                  <c:v>-4</c:v>
                </c:pt>
                <c:pt idx="1">
                  <c:v>-3.5</c:v>
                </c:pt>
                <c:pt idx="2">
                  <c:v>-3</c:v>
                </c:pt>
                <c:pt idx="3">
                  <c:v>-2.5</c:v>
                </c:pt>
                <c:pt idx="4">
                  <c:v>-2</c:v>
                </c:pt>
                <c:pt idx="5">
                  <c:v>-1.5</c:v>
                </c:pt>
                <c:pt idx="6">
                  <c:v>-1</c:v>
                </c:pt>
                <c:pt idx="7">
                  <c:v>-0.5</c:v>
                </c:pt>
                <c:pt idx="8">
                  <c:v>0</c:v>
                </c:pt>
                <c:pt idx="9">
                  <c:v>0.5</c:v>
                </c:pt>
                <c:pt idx="10">
                  <c:v>1</c:v>
                </c:pt>
                <c:pt idx="11">
                  <c:v>1.5</c:v>
                </c:pt>
                <c:pt idx="12">
                  <c:v>2</c:v>
                </c:pt>
                <c:pt idx="13">
                  <c:v>2.5</c:v>
                </c:pt>
                <c:pt idx="14">
                  <c:v>3</c:v>
                </c:pt>
                <c:pt idx="15">
                  <c:v>3.5</c:v>
                </c:pt>
                <c:pt idx="16">
                  <c:v>4</c:v>
                </c:pt>
                <c:pt idx="17">
                  <c:v>4.5</c:v>
                </c:pt>
                <c:pt idx="18">
                  <c:v>5</c:v>
                </c:pt>
                <c:pt idx="19">
                  <c:v>5.5</c:v>
                </c:pt>
              </c:numCache>
            </c:numRef>
          </c:cat>
          <c:val>
            <c:numRef>
              <c:f>'Задание 2.2'!$K$2:$K$21</c:f>
              <c:numCache>
                <c:formatCode>General</c:formatCode>
                <c:ptCount val="20"/>
                <c:pt idx="0">
                  <c:v>52</c:v>
                </c:pt>
                <c:pt idx="1">
                  <c:v>48.25</c:v>
                </c:pt>
                <c:pt idx="2">
                  <c:v>45</c:v>
                </c:pt>
                <c:pt idx="3">
                  <c:v>42.25</c:v>
                </c:pt>
                <c:pt idx="4">
                  <c:v>40</c:v>
                </c:pt>
                <c:pt idx="5">
                  <c:v>38.25</c:v>
                </c:pt>
                <c:pt idx="6">
                  <c:v>37</c:v>
                </c:pt>
                <c:pt idx="7">
                  <c:v>36.25</c:v>
                </c:pt>
                <c:pt idx="8">
                  <c:v>36</c:v>
                </c:pt>
                <c:pt idx="9">
                  <c:v>36.25</c:v>
                </c:pt>
                <c:pt idx="10">
                  <c:v>37</c:v>
                </c:pt>
                <c:pt idx="11">
                  <c:v>38.25</c:v>
                </c:pt>
                <c:pt idx="12">
                  <c:v>40</c:v>
                </c:pt>
                <c:pt idx="13">
                  <c:v>42.25</c:v>
                </c:pt>
                <c:pt idx="14">
                  <c:v>45</c:v>
                </c:pt>
                <c:pt idx="15">
                  <c:v>48.25</c:v>
                </c:pt>
                <c:pt idx="16">
                  <c:v>52</c:v>
                </c:pt>
                <c:pt idx="17">
                  <c:v>56.25</c:v>
                </c:pt>
                <c:pt idx="18">
                  <c:v>61</c:v>
                </c:pt>
                <c:pt idx="19">
                  <c:v>66.25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2E4-46FF-94C0-1DAEF03FBC26}"/>
            </c:ext>
          </c:extLst>
        </c:ser>
        <c:ser>
          <c:idx val="10"/>
          <c:order val="10"/>
          <c:tx>
            <c:strRef>
              <c:f>'Задание 2.2'!$L$1</c:f>
              <c:strCache>
                <c:ptCount val="1"/>
                <c:pt idx="0">
                  <c:v>7,5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cat>
            <c:numRef>
              <c:f>'Задание 2.2'!$A$2:$A$21</c:f>
              <c:numCache>
                <c:formatCode>General</c:formatCode>
                <c:ptCount val="20"/>
                <c:pt idx="0">
                  <c:v>-4</c:v>
                </c:pt>
                <c:pt idx="1">
                  <c:v>-3.5</c:v>
                </c:pt>
                <c:pt idx="2">
                  <c:v>-3</c:v>
                </c:pt>
                <c:pt idx="3">
                  <c:v>-2.5</c:v>
                </c:pt>
                <c:pt idx="4">
                  <c:v>-2</c:v>
                </c:pt>
                <c:pt idx="5">
                  <c:v>-1.5</c:v>
                </c:pt>
                <c:pt idx="6">
                  <c:v>-1</c:v>
                </c:pt>
                <c:pt idx="7">
                  <c:v>-0.5</c:v>
                </c:pt>
                <c:pt idx="8">
                  <c:v>0</c:v>
                </c:pt>
                <c:pt idx="9">
                  <c:v>0.5</c:v>
                </c:pt>
                <c:pt idx="10">
                  <c:v>1</c:v>
                </c:pt>
                <c:pt idx="11">
                  <c:v>1.5</c:v>
                </c:pt>
                <c:pt idx="12">
                  <c:v>2</c:v>
                </c:pt>
                <c:pt idx="13">
                  <c:v>2.5</c:v>
                </c:pt>
                <c:pt idx="14">
                  <c:v>3</c:v>
                </c:pt>
                <c:pt idx="15">
                  <c:v>3.5</c:v>
                </c:pt>
                <c:pt idx="16">
                  <c:v>4</c:v>
                </c:pt>
                <c:pt idx="17">
                  <c:v>4.5</c:v>
                </c:pt>
                <c:pt idx="18">
                  <c:v>5</c:v>
                </c:pt>
                <c:pt idx="19">
                  <c:v>5.5</c:v>
                </c:pt>
              </c:numCache>
            </c:numRef>
          </c:cat>
          <c:val>
            <c:numRef>
              <c:f>'Задание 2.2'!$L$2:$L$21</c:f>
              <c:numCache>
                <c:formatCode>General</c:formatCode>
                <c:ptCount val="20"/>
                <c:pt idx="0">
                  <c:v>72.25</c:v>
                </c:pt>
                <c:pt idx="1">
                  <c:v>68.5</c:v>
                </c:pt>
                <c:pt idx="2">
                  <c:v>65.25</c:v>
                </c:pt>
                <c:pt idx="3">
                  <c:v>62.5</c:v>
                </c:pt>
                <c:pt idx="4">
                  <c:v>60.25</c:v>
                </c:pt>
                <c:pt idx="5">
                  <c:v>58.5</c:v>
                </c:pt>
                <c:pt idx="6">
                  <c:v>57.25</c:v>
                </c:pt>
                <c:pt idx="7">
                  <c:v>56.5</c:v>
                </c:pt>
                <c:pt idx="8">
                  <c:v>56.25</c:v>
                </c:pt>
                <c:pt idx="9">
                  <c:v>56.5</c:v>
                </c:pt>
                <c:pt idx="10">
                  <c:v>57.25</c:v>
                </c:pt>
                <c:pt idx="11">
                  <c:v>58.5</c:v>
                </c:pt>
                <c:pt idx="12">
                  <c:v>60.25</c:v>
                </c:pt>
                <c:pt idx="13">
                  <c:v>62.5</c:v>
                </c:pt>
                <c:pt idx="14">
                  <c:v>65.25</c:v>
                </c:pt>
                <c:pt idx="15">
                  <c:v>68.5</c:v>
                </c:pt>
                <c:pt idx="16">
                  <c:v>72.25</c:v>
                </c:pt>
                <c:pt idx="17">
                  <c:v>76.5</c:v>
                </c:pt>
                <c:pt idx="18">
                  <c:v>81.25</c:v>
                </c:pt>
                <c:pt idx="19">
                  <c:v>86.5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2E4-46FF-94C0-1DAEF03FBC26}"/>
            </c:ext>
          </c:extLst>
        </c:ser>
        <c:ser>
          <c:idx val="11"/>
          <c:order val="11"/>
          <c:tx>
            <c:strRef>
              <c:f>'Задание 2.2'!$M$1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cat>
            <c:numRef>
              <c:f>'Задание 2.2'!$A$2:$A$21</c:f>
              <c:numCache>
                <c:formatCode>General</c:formatCode>
                <c:ptCount val="20"/>
                <c:pt idx="0">
                  <c:v>-4</c:v>
                </c:pt>
                <c:pt idx="1">
                  <c:v>-3.5</c:v>
                </c:pt>
                <c:pt idx="2">
                  <c:v>-3</c:v>
                </c:pt>
                <c:pt idx="3">
                  <c:v>-2.5</c:v>
                </c:pt>
                <c:pt idx="4">
                  <c:v>-2</c:v>
                </c:pt>
                <c:pt idx="5">
                  <c:v>-1.5</c:v>
                </c:pt>
                <c:pt idx="6">
                  <c:v>-1</c:v>
                </c:pt>
                <c:pt idx="7">
                  <c:v>-0.5</c:v>
                </c:pt>
                <c:pt idx="8">
                  <c:v>0</c:v>
                </c:pt>
                <c:pt idx="9">
                  <c:v>0.5</c:v>
                </c:pt>
                <c:pt idx="10">
                  <c:v>1</c:v>
                </c:pt>
                <c:pt idx="11">
                  <c:v>1.5</c:v>
                </c:pt>
                <c:pt idx="12">
                  <c:v>2</c:v>
                </c:pt>
                <c:pt idx="13">
                  <c:v>2.5</c:v>
                </c:pt>
                <c:pt idx="14">
                  <c:v>3</c:v>
                </c:pt>
                <c:pt idx="15">
                  <c:v>3.5</c:v>
                </c:pt>
                <c:pt idx="16">
                  <c:v>4</c:v>
                </c:pt>
                <c:pt idx="17">
                  <c:v>4.5</c:v>
                </c:pt>
                <c:pt idx="18">
                  <c:v>5</c:v>
                </c:pt>
                <c:pt idx="19">
                  <c:v>5.5</c:v>
                </c:pt>
              </c:numCache>
            </c:numRef>
          </c:cat>
          <c:val>
            <c:numRef>
              <c:f>'Задание 2.2'!$M$2:$M$21</c:f>
              <c:numCache>
                <c:formatCode>General</c:formatCode>
                <c:ptCount val="20"/>
                <c:pt idx="0">
                  <c:v>97</c:v>
                </c:pt>
                <c:pt idx="1">
                  <c:v>93.25</c:v>
                </c:pt>
                <c:pt idx="2">
                  <c:v>90</c:v>
                </c:pt>
                <c:pt idx="3">
                  <c:v>87.25</c:v>
                </c:pt>
                <c:pt idx="4">
                  <c:v>85</c:v>
                </c:pt>
                <c:pt idx="5">
                  <c:v>83.25</c:v>
                </c:pt>
                <c:pt idx="6">
                  <c:v>82</c:v>
                </c:pt>
                <c:pt idx="7">
                  <c:v>81.25</c:v>
                </c:pt>
                <c:pt idx="8">
                  <c:v>81</c:v>
                </c:pt>
                <c:pt idx="9">
                  <c:v>81.25</c:v>
                </c:pt>
                <c:pt idx="10">
                  <c:v>82</c:v>
                </c:pt>
                <c:pt idx="11">
                  <c:v>83.25</c:v>
                </c:pt>
                <c:pt idx="12">
                  <c:v>85</c:v>
                </c:pt>
                <c:pt idx="13">
                  <c:v>87.25</c:v>
                </c:pt>
                <c:pt idx="14">
                  <c:v>90</c:v>
                </c:pt>
                <c:pt idx="15">
                  <c:v>93.25</c:v>
                </c:pt>
                <c:pt idx="16">
                  <c:v>97</c:v>
                </c:pt>
                <c:pt idx="17">
                  <c:v>101.25</c:v>
                </c:pt>
                <c:pt idx="18">
                  <c:v>106</c:v>
                </c:pt>
                <c:pt idx="19">
                  <c:v>111.25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2E4-46FF-94C0-1DAEF03FBC26}"/>
            </c:ext>
          </c:extLst>
        </c:ser>
        <c:ser>
          <c:idx val="12"/>
          <c:order val="12"/>
          <c:tx>
            <c:strRef>
              <c:f>'Задание 2.2'!$N$1</c:f>
              <c:strCache>
                <c:ptCount val="1"/>
                <c:pt idx="0">
                  <c:v>10,5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'Задание 2.2'!$A$2:$A$21</c:f>
              <c:numCache>
                <c:formatCode>General</c:formatCode>
                <c:ptCount val="20"/>
                <c:pt idx="0">
                  <c:v>-4</c:v>
                </c:pt>
                <c:pt idx="1">
                  <c:v>-3.5</c:v>
                </c:pt>
                <c:pt idx="2">
                  <c:v>-3</c:v>
                </c:pt>
                <c:pt idx="3">
                  <c:v>-2.5</c:v>
                </c:pt>
                <c:pt idx="4">
                  <c:v>-2</c:v>
                </c:pt>
                <c:pt idx="5">
                  <c:v>-1.5</c:v>
                </c:pt>
                <c:pt idx="6">
                  <c:v>-1</c:v>
                </c:pt>
                <c:pt idx="7">
                  <c:v>-0.5</c:v>
                </c:pt>
                <c:pt idx="8">
                  <c:v>0</c:v>
                </c:pt>
                <c:pt idx="9">
                  <c:v>0.5</c:v>
                </c:pt>
                <c:pt idx="10">
                  <c:v>1</c:v>
                </c:pt>
                <c:pt idx="11">
                  <c:v>1.5</c:v>
                </c:pt>
                <c:pt idx="12">
                  <c:v>2</c:v>
                </c:pt>
                <c:pt idx="13">
                  <c:v>2.5</c:v>
                </c:pt>
                <c:pt idx="14">
                  <c:v>3</c:v>
                </c:pt>
                <c:pt idx="15">
                  <c:v>3.5</c:v>
                </c:pt>
                <c:pt idx="16">
                  <c:v>4</c:v>
                </c:pt>
                <c:pt idx="17">
                  <c:v>4.5</c:v>
                </c:pt>
                <c:pt idx="18">
                  <c:v>5</c:v>
                </c:pt>
                <c:pt idx="19">
                  <c:v>5.5</c:v>
                </c:pt>
              </c:numCache>
            </c:numRef>
          </c:cat>
          <c:val>
            <c:numRef>
              <c:f>'Задание 2.2'!$N$2:$N$21</c:f>
              <c:numCache>
                <c:formatCode>General</c:formatCode>
                <c:ptCount val="20"/>
                <c:pt idx="0">
                  <c:v>126.25</c:v>
                </c:pt>
                <c:pt idx="1">
                  <c:v>122.5</c:v>
                </c:pt>
                <c:pt idx="2">
                  <c:v>119.25</c:v>
                </c:pt>
                <c:pt idx="3">
                  <c:v>116.5</c:v>
                </c:pt>
                <c:pt idx="4">
                  <c:v>114.25</c:v>
                </c:pt>
                <c:pt idx="5">
                  <c:v>112.5</c:v>
                </c:pt>
                <c:pt idx="6">
                  <c:v>111.25</c:v>
                </c:pt>
                <c:pt idx="7">
                  <c:v>110.5</c:v>
                </c:pt>
                <c:pt idx="8">
                  <c:v>110.25</c:v>
                </c:pt>
                <c:pt idx="9">
                  <c:v>110.5</c:v>
                </c:pt>
                <c:pt idx="10">
                  <c:v>111.25</c:v>
                </c:pt>
                <c:pt idx="11">
                  <c:v>112.5</c:v>
                </c:pt>
                <c:pt idx="12">
                  <c:v>114.25</c:v>
                </c:pt>
                <c:pt idx="13">
                  <c:v>116.5</c:v>
                </c:pt>
                <c:pt idx="14">
                  <c:v>119.25</c:v>
                </c:pt>
                <c:pt idx="15">
                  <c:v>122.5</c:v>
                </c:pt>
                <c:pt idx="16">
                  <c:v>126.25</c:v>
                </c:pt>
                <c:pt idx="17">
                  <c:v>130.5</c:v>
                </c:pt>
                <c:pt idx="18">
                  <c:v>135.25</c:v>
                </c:pt>
                <c:pt idx="19">
                  <c:v>140.5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2E4-46FF-94C0-1DAEF03FBC26}"/>
            </c:ext>
          </c:extLst>
        </c:ser>
        <c:ser>
          <c:idx val="13"/>
          <c:order val="13"/>
          <c:tx>
            <c:strRef>
              <c:f>'Задание 2.2'!$O$1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'Задание 2.2'!$A$2:$A$21</c:f>
              <c:numCache>
                <c:formatCode>General</c:formatCode>
                <c:ptCount val="20"/>
                <c:pt idx="0">
                  <c:v>-4</c:v>
                </c:pt>
                <c:pt idx="1">
                  <c:v>-3.5</c:v>
                </c:pt>
                <c:pt idx="2">
                  <c:v>-3</c:v>
                </c:pt>
                <c:pt idx="3">
                  <c:v>-2.5</c:v>
                </c:pt>
                <c:pt idx="4">
                  <c:v>-2</c:v>
                </c:pt>
                <c:pt idx="5">
                  <c:v>-1.5</c:v>
                </c:pt>
                <c:pt idx="6">
                  <c:v>-1</c:v>
                </c:pt>
                <c:pt idx="7">
                  <c:v>-0.5</c:v>
                </c:pt>
                <c:pt idx="8">
                  <c:v>0</c:v>
                </c:pt>
                <c:pt idx="9">
                  <c:v>0.5</c:v>
                </c:pt>
                <c:pt idx="10">
                  <c:v>1</c:v>
                </c:pt>
                <c:pt idx="11">
                  <c:v>1.5</c:v>
                </c:pt>
                <c:pt idx="12">
                  <c:v>2</c:v>
                </c:pt>
                <c:pt idx="13">
                  <c:v>2.5</c:v>
                </c:pt>
                <c:pt idx="14">
                  <c:v>3</c:v>
                </c:pt>
                <c:pt idx="15">
                  <c:v>3.5</c:v>
                </c:pt>
                <c:pt idx="16">
                  <c:v>4</c:v>
                </c:pt>
                <c:pt idx="17">
                  <c:v>4.5</c:v>
                </c:pt>
                <c:pt idx="18">
                  <c:v>5</c:v>
                </c:pt>
                <c:pt idx="19">
                  <c:v>5.5</c:v>
                </c:pt>
              </c:numCache>
            </c:numRef>
          </c:cat>
          <c:val>
            <c:numRef>
              <c:f>'Задание 2.2'!$O$2:$O$21</c:f>
              <c:numCache>
                <c:formatCode>General</c:formatCode>
                <c:ptCount val="20"/>
                <c:pt idx="0">
                  <c:v>160</c:v>
                </c:pt>
                <c:pt idx="1">
                  <c:v>156.25</c:v>
                </c:pt>
                <c:pt idx="2">
                  <c:v>153</c:v>
                </c:pt>
                <c:pt idx="3">
                  <c:v>150.25</c:v>
                </c:pt>
                <c:pt idx="4">
                  <c:v>148</c:v>
                </c:pt>
                <c:pt idx="5">
                  <c:v>146.25</c:v>
                </c:pt>
                <c:pt idx="6">
                  <c:v>145</c:v>
                </c:pt>
                <c:pt idx="7">
                  <c:v>144.25</c:v>
                </c:pt>
                <c:pt idx="8">
                  <c:v>144</c:v>
                </c:pt>
                <c:pt idx="9">
                  <c:v>144.25</c:v>
                </c:pt>
                <c:pt idx="10">
                  <c:v>145</c:v>
                </c:pt>
                <c:pt idx="11">
                  <c:v>146.25</c:v>
                </c:pt>
                <c:pt idx="12">
                  <c:v>148</c:v>
                </c:pt>
                <c:pt idx="13">
                  <c:v>150.25</c:v>
                </c:pt>
                <c:pt idx="14">
                  <c:v>153</c:v>
                </c:pt>
                <c:pt idx="15">
                  <c:v>156.25</c:v>
                </c:pt>
                <c:pt idx="16">
                  <c:v>160</c:v>
                </c:pt>
                <c:pt idx="17">
                  <c:v>164.25</c:v>
                </c:pt>
                <c:pt idx="18">
                  <c:v>169</c:v>
                </c:pt>
                <c:pt idx="19">
                  <c:v>174.25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2E4-46FF-94C0-1DAEF03FBC26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493773792"/>
        <c:axId val="350379928"/>
        <c:axId val="592205128"/>
      </c:surface3DChart>
      <c:catAx>
        <c:axId val="493773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0379928"/>
        <c:crosses val="autoZero"/>
        <c:auto val="1"/>
        <c:lblAlgn val="ctr"/>
        <c:lblOffset val="100"/>
        <c:noMultiLvlLbl val="0"/>
      </c:catAx>
      <c:valAx>
        <c:axId val="350379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3773792"/>
        <c:crosses val="autoZero"/>
        <c:crossBetween val="midCat"/>
      </c:valAx>
      <c:serAx>
        <c:axId val="59220512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0379928"/>
        <c:crosses val="autoZero"/>
      </c:ser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z=x^2/a^2+y^2/b^2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'Задание 2.2(собственный)'!$B$1</c:f>
              <c:strCache>
                <c:ptCount val="1"/>
                <c:pt idx="0">
                  <c:v>-100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numRef>
              <c:f>'Задание 2.2(собственный)'!$A$2:$A$21</c:f>
              <c:numCache>
                <c:formatCode>General</c:formatCode>
                <c:ptCount val="20"/>
                <c:pt idx="0">
                  <c:v>-100</c:v>
                </c:pt>
                <c:pt idx="1">
                  <c:v>-54.2</c:v>
                </c:pt>
                <c:pt idx="2">
                  <c:v>-8.4000000000000092</c:v>
                </c:pt>
                <c:pt idx="3">
                  <c:v>37.4</c:v>
                </c:pt>
                <c:pt idx="4">
                  <c:v>83.2</c:v>
                </c:pt>
                <c:pt idx="5">
                  <c:v>129</c:v>
                </c:pt>
                <c:pt idx="6">
                  <c:v>174.8</c:v>
                </c:pt>
                <c:pt idx="7">
                  <c:v>220.6</c:v>
                </c:pt>
                <c:pt idx="8">
                  <c:v>266.39999999999998</c:v>
                </c:pt>
                <c:pt idx="9">
                  <c:v>312.2</c:v>
                </c:pt>
                <c:pt idx="10">
                  <c:v>358</c:v>
                </c:pt>
                <c:pt idx="11">
                  <c:v>403.8</c:v>
                </c:pt>
                <c:pt idx="12">
                  <c:v>449.6</c:v>
                </c:pt>
                <c:pt idx="13">
                  <c:v>495.4</c:v>
                </c:pt>
                <c:pt idx="14">
                  <c:v>541.20000000000005</c:v>
                </c:pt>
                <c:pt idx="15">
                  <c:v>587</c:v>
                </c:pt>
                <c:pt idx="16">
                  <c:v>632.79999999999995</c:v>
                </c:pt>
                <c:pt idx="17">
                  <c:v>678.6</c:v>
                </c:pt>
                <c:pt idx="18">
                  <c:v>724.4</c:v>
                </c:pt>
                <c:pt idx="19">
                  <c:v>770.2</c:v>
                </c:pt>
              </c:numCache>
            </c:numRef>
          </c:cat>
          <c:val>
            <c:numRef>
              <c:f>'Задание 2.2(собственный)'!$B$2:$B$21</c:f>
              <c:numCache>
                <c:formatCode>General</c:formatCode>
                <c:ptCount val="20"/>
                <c:pt idx="0">
                  <c:v>3611.1111111111113</c:v>
                </c:pt>
                <c:pt idx="1">
                  <c:v>1845.5211111111112</c:v>
                </c:pt>
                <c:pt idx="2">
                  <c:v>1128.7511111111112</c:v>
                </c:pt>
                <c:pt idx="3">
                  <c:v>1460.8011111111111</c:v>
                </c:pt>
                <c:pt idx="4">
                  <c:v>2841.6711111111113</c:v>
                </c:pt>
                <c:pt idx="5">
                  <c:v>5271.3611111111113</c:v>
                </c:pt>
                <c:pt idx="6">
                  <c:v>8749.8711111111115</c:v>
                </c:pt>
                <c:pt idx="7">
                  <c:v>13277.201111111111</c:v>
                </c:pt>
                <c:pt idx="8">
                  <c:v>18853.351111111107</c:v>
                </c:pt>
                <c:pt idx="9">
                  <c:v>25478.321111111109</c:v>
                </c:pt>
                <c:pt idx="10">
                  <c:v>33152.111111111109</c:v>
                </c:pt>
                <c:pt idx="11">
                  <c:v>41874.72111111111</c:v>
                </c:pt>
                <c:pt idx="12">
                  <c:v>51646.151111111118</c:v>
                </c:pt>
                <c:pt idx="13">
                  <c:v>62466.401111111103</c:v>
                </c:pt>
                <c:pt idx="14">
                  <c:v>74335.471111111125</c:v>
                </c:pt>
                <c:pt idx="15">
                  <c:v>87253.361111111109</c:v>
                </c:pt>
                <c:pt idx="16">
                  <c:v>101220.0711111111</c:v>
                </c:pt>
                <c:pt idx="17">
                  <c:v>116235.60111111111</c:v>
                </c:pt>
                <c:pt idx="18">
                  <c:v>132299.95111111112</c:v>
                </c:pt>
                <c:pt idx="19">
                  <c:v>149413.12111111113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F4-47A5-9D98-806C5151ECA2}"/>
            </c:ext>
          </c:extLst>
        </c:ser>
        <c:ser>
          <c:idx val="1"/>
          <c:order val="1"/>
          <c:tx>
            <c:strRef>
              <c:f>'Задание 2.2(собственный)'!$C$1</c:f>
              <c:strCache>
                <c:ptCount val="1"/>
                <c:pt idx="0">
                  <c:v>-54,2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numRef>
              <c:f>'Задание 2.2(собственный)'!$A$2:$A$21</c:f>
              <c:numCache>
                <c:formatCode>General</c:formatCode>
                <c:ptCount val="20"/>
                <c:pt idx="0">
                  <c:v>-100</c:v>
                </c:pt>
                <c:pt idx="1">
                  <c:v>-54.2</c:v>
                </c:pt>
                <c:pt idx="2">
                  <c:v>-8.4000000000000092</c:v>
                </c:pt>
                <c:pt idx="3">
                  <c:v>37.4</c:v>
                </c:pt>
                <c:pt idx="4">
                  <c:v>83.2</c:v>
                </c:pt>
                <c:pt idx="5">
                  <c:v>129</c:v>
                </c:pt>
                <c:pt idx="6">
                  <c:v>174.8</c:v>
                </c:pt>
                <c:pt idx="7">
                  <c:v>220.6</c:v>
                </c:pt>
                <c:pt idx="8">
                  <c:v>266.39999999999998</c:v>
                </c:pt>
                <c:pt idx="9">
                  <c:v>312.2</c:v>
                </c:pt>
                <c:pt idx="10">
                  <c:v>358</c:v>
                </c:pt>
                <c:pt idx="11">
                  <c:v>403.8</c:v>
                </c:pt>
                <c:pt idx="12">
                  <c:v>449.6</c:v>
                </c:pt>
                <c:pt idx="13">
                  <c:v>495.4</c:v>
                </c:pt>
                <c:pt idx="14">
                  <c:v>541.20000000000005</c:v>
                </c:pt>
                <c:pt idx="15">
                  <c:v>587</c:v>
                </c:pt>
                <c:pt idx="16">
                  <c:v>632.79999999999995</c:v>
                </c:pt>
                <c:pt idx="17">
                  <c:v>678.6</c:v>
                </c:pt>
                <c:pt idx="18">
                  <c:v>724.4</c:v>
                </c:pt>
                <c:pt idx="19">
                  <c:v>770.2</c:v>
                </c:pt>
              </c:numCache>
            </c:numRef>
          </c:cat>
          <c:val>
            <c:numRef>
              <c:f>'Задание 2.2(собственный)'!$C$2:$C$21</c:f>
              <c:numCache>
                <c:formatCode>General</c:formatCode>
                <c:ptCount val="20"/>
                <c:pt idx="0">
                  <c:v>2826.4044444444444</c:v>
                </c:pt>
                <c:pt idx="1">
                  <c:v>1060.8144444444447</c:v>
                </c:pt>
                <c:pt idx="2">
                  <c:v>344.04444444444454</c:v>
                </c:pt>
                <c:pt idx="3">
                  <c:v>676.09444444444443</c:v>
                </c:pt>
                <c:pt idx="4">
                  <c:v>2056.9644444444448</c:v>
                </c:pt>
                <c:pt idx="5">
                  <c:v>4486.6544444444444</c:v>
                </c:pt>
                <c:pt idx="6">
                  <c:v>7965.1644444444455</c:v>
                </c:pt>
                <c:pt idx="7">
                  <c:v>12492.494444444445</c:v>
                </c:pt>
                <c:pt idx="8">
                  <c:v>18068.644444444442</c:v>
                </c:pt>
                <c:pt idx="9">
                  <c:v>24693.614444444444</c:v>
                </c:pt>
                <c:pt idx="10">
                  <c:v>32367.404444444444</c:v>
                </c:pt>
                <c:pt idx="11">
                  <c:v>41090.014444444445</c:v>
                </c:pt>
                <c:pt idx="12">
                  <c:v>50861.444444444453</c:v>
                </c:pt>
                <c:pt idx="13">
                  <c:v>61681.694444444438</c:v>
                </c:pt>
                <c:pt idx="14">
                  <c:v>73550.76444444446</c:v>
                </c:pt>
                <c:pt idx="15">
                  <c:v>86468.654444444444</c:v>
                </c:pt>
                <c:pt idx="16">
                  <c:v>100435.36444444444</c:v>
                </c:pt>
                <c:pt idx="17">
                  <c:v>115450.89444444445</c:v>
                </c:pt>
                <c:pt idx="18">
                  <c:v>131515.24444444446</c:v>
                </c:pt>
                <c:pt idx="19">
                  <c:v>148628.41444444447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F4-47A5-9D98-806C5151ECA2}"/>
            </c:ext>
          </c:extLst>
        </c:ser>
        <c:ser>
          <c:idx val="2"/>
          <c:order val="2"/>
          <c:tx>
            <c:strRef>
              <c:f>'Задание 2.2(собственный)'!$D$1</c:f>
              <c:strCache>
                <c:ptCount val="1"/>
                <c:pt idx="0">
                  <c:v>-8,4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numRef>
              <c:f>'Задание 2.2(собственный)'!$A$2:$A$21</c:f>
              <c:numCache>
                <c:formatCode>General</c:formatCode>
                <c:ptCount val="20"/>
                <c:pt idx="0">
                  <c:v>-100</c:v>
                </c:pt>
                <c:pt idx="1">
                  <c:v>-54.2</c:v>
                </c:pt>
                <c:pt idx="2">
                  <c:v>-8.4000000000000092</c:v>
                </c:pt>
                <c:pt idx="3">
                  <c:v>37.4</c:v>
                </c:pt>
                <c:pt idx="4">
                  <c:v>83.2</c:v>
                </c:pt>
                <c:pt idx="5">
                  <c:v>129</c:v>
                </c:pt>
                <c:pt idx="6">
                  <c:v>174.8</c:v>
                </c:pt>
                <c:pt idx="7">
                  <c:v>220.6</c:v>
                </c:pt>
                <c:pt idx="8">
                  <c:v>266.39999999999998</c:v>
                </c:pt>
                <c:pt idx="9">
                  <c:v>312.2</c:v>
                </c:pt>
                <c:pt idx="10">
                  <c:v>358</c:v>
                </c:pt>
                <c:pt idx="11">
                  <c:v>403.8</c:v>
                </c:pt>
                <c:pt idx="12">
                  <c:v>449.6</c:v>
                </c:pt>
                <c:pt idx="13">
                  <c:v>495.4</c:v>
                </c:pt>
                <c:pt idx="14">
                  <c:v>541.20000000000005</c:v>
                </c:pt>
                <c:pt idx="15">
                  <c:v>587</c:v>
                </c:pt>
                <c:pt idx="16">
                  <c:v>632.79999999999995</c:v>
                </c:pt>
                <c:pt idx="17">
                  <c:v>678.6</c:v>
                </c:pt>
                <c:pt idx="18">
                  <c:v>724.4</c:v>
                </c:pt>
                <c:pt idx="19">
                  <c:v>770.2</c:v>
                </c:pt>
              </c:numCache>
            </c:numRef>
          </c:cat>
          <c:val>
            <c:numRef>
              <c:f>'Задание 2.2(собственный)'!$D$2:$D$21</c:f>
              <c:numCache>
                <c:formatCode>General</c:formatCode>
                <c:ptCount val="20"/>
                <c:pt idx="0">
                  <c:v>2507.84</c:v>
                </c:pt>
                <c:pt idx="1">
                  <c:v>742.25000000000011</c:v>
                </c:pt>
                <c:pt idx="2">
                  <c:v>25.480000000000057</c:v>
                </c:pt>
                <c:pt idx="3">
                  <c:v>357.53000000000003</c:v>
                </c:pt>
                <c:pt idx="4">
                  <c:v>1738.4</c:v>
                </c:pt>
                <c:pt idx="5">
                  <c:v>4168.09</c:v>
                </c:pt>
                <c:pt idx="6">
                  <c:v>7646.6000000000013</c:v>
                </c:pt>
                <c:pt idx="7">
                  <c:v>12173.93</c:v>
                </c:pt>
                <c:pt idx="8">
                  <c:v>17750.079999999998</c:v>
                </c:pt>
                <c:pt idx="9">
                  <c:v>24375.05</c:v>
                </c:pt>
                <c:pt idx="10">
                  <c:v>32048.84</c:v>
                </c:pt>
                <c:pt idx="11">
                  <c:v>40771.449999999997</c:v>
                </c:pt>
                <c:pt idx="12">
                  <c:v>50542.880000000005</c:v>
                </c:pt>
                <c:pt idx="13">
                  <c:v>61363.12999999999</c:v>
                </c:pt>
                <c:pt idx="14">
                  <c:v>73232.200000000012</c:v>
                </c:pt>
                <c:pt idx="15">
                  <c:v>86150.09</c:v>
                </c:pt>
                <c:pt idx="16">
                  <c:v>100116.79999999999</c:v>
                </c:pt>
                <c:pt idx="17">
                  <c:v>115132.33</c:v>
                </c:pt>
                <c:pt idx="18">
                  <c:v>131196.68</c:v>
                </c:pt>
                <c:pt idx="19">
                  <c:v>148309.85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F4-47A5-9D98-806C5151ECA2}"/>
            </c:ext>
          </c:extLst>
        </c:ser>
        <c:ser>
          <c:idx val="3"/>
          <c:order val="3"/>
          <c:tx>
            <c:strRef>
              <c:f>'Задание 2.2(собственный)'!$E$1</c:f>
              <c:strCache>
                <c:ptCount val="1"/>
                <c:pt idx="0">
                  <c:v>37,4</c:v>
                </c:pt>
              </c:strCache>
            </c:strRef>
          </c:tx>
          <c:spPr>
            <a:solidFill>
              <a:schemeClr val="accent4"/>
            </a:solidFill>
            <a:ln/>
            <a:effectLst/>
            <a:sp3d/>
          </c:spPr>
          <c:cat>
            <c:numRef>
              <c:f>'Задание 2.2(собственный)'!$A$2:$A$21</c:f>
              <c:numCache>
                <c:formatCode>General</c:formatCode>
                <c:ptCount val="20"/>
                <c:pt idx="0">
                  <c:v>-100</c:v>
                </c:pt>
                <c:pt idx="1">
                  <c:v>-54.2</c:v>
                </c:pt>
                <c:pt idx="2">
                  <c:v>-8.4000000000000092</c:v>
                </c:pt>
                <c:pt idx="3">
                  <c:v>37.4</c:v>
                </c:pt>
                <c:pt idx="4">
                  <c:v>83.2</c:v>
                </c:pt>
                <c:pt idx="5">
                  <c:v>129</c:v>
                </c:pt>
                <c:pt idx="6">
                  <c:v>174.8</c:v>
                </c:pt>
                <c:pt idx="7">
                  <c:v>220.6</c:v>
                </c:pt>
                <c:pt idx="8">
                  <c:v>266.39999999999998</c:v>
                </c:pt>
                <c:pt idx="9">
                  <c:v>312.2</c:v>
                </c:pt>
                <c:pt idx="10">
                  <c:v>358</c:v>
                </c:pt>
                <c:pt idx="11">
                  <c:v>403.8</c:v>
                </c:pt>
                <c:pt idx="12">
                  <c:v>449.6</c:v>
                </c:pt>
                <c:pt idx="13">
                  <c:v>495.4</c:v>
                </c:pt>
                <c:pt idx="14">
                  <c:v>541.20000000000005</c:v>
                </c:pt>
                <c:pt idx="15">
                  <c:v>587</c:v>
                </c:pt>
                <c:pt idx="16">
                  <c:v>632.79999999999995</c:v>
                </c:pt>
                <c:pt idx="17">
                  <c:v>678.6</c:v>
                </c:pt>
                <c:pt idx="18">
                  <c:v>724.4</c:v>
                </c:pt>
                <c:pt idx="19">
                  <c:v>770.2</c:v>
                </c:pt>
              </c:numCache>
            </c:numRef>
          </c:cat>
          <c:val>
            <c:numRef>
              <c:f>'Задание 2.2(собственный)'!$E$2:$E$21</c:f>
              <c:numCache>
                <c:formatCode>General</c:formatCode>
                <c:ptCount val="20"/>
                <c:pt idx="0">
                  <c:v>2655.4177777777777</c:v>
                </c:pt>
                <c:pt idx="1">
                  <c:v>889.8277777777779</c:v>
                </c:pt>
                <c:pt idx="2">
                  <c:v>173.05777777777783</c:v>
                </c:pt>
                <c:pt idx="3">
                  <c:v>505.10777777777776</c:v>
                </c:pt>
                <c:pt idx="4">
                  <c:v>1885.9777777777779</c:v>
                </c:pt>
                <c:pt idx="5">
                  <c:v>4315.6677777777777</c:v>
                </c:pt>
                <c:pt idx="6">
                  <c:v>7794.1777777777788</c:v>
                </c:pt>
                <c:pt idx="7">
                  <c:v>12321.507777777779</c:v>
                </c:pt>
                <c:pt idx="8">
                  <c:v>17897.657777777775</c:v>
                </c:pt>
                <c:pt idx="9">
                  <c:v>24522.627777777776</c:v>
                </c:pt>
                <c:pt idx="10">
                  <c:v>32196.417777777777</c:v>
                </c:pt>
                <c:pt idx="11">
                  <c:v>40919.027777777781</c:v>
                </c:pt>
                <c:pt idx="12">
                  <c:v>50690.457777777789</c:v>
                </c:pt>
                <c:pt idx="13">
                  <c:v>61510.707777777774</c:v>
                </c:pt>
                <c:pt idx="14">
                  <c:v>73379.777777777796</c:v>
                </c:pt>
                <c:pt idx="15">
                  <c:v>86297.66777777778</c:v>
                </c:pt>
                <c:pt idx="16">
                  <c:v>100264.37777777777</c:v>
                </c:pt>
                <c:pt idx="17">
                  <c:v>115279.90777777779</c:v>
                </c:pt>
                <c:pt idx="18">
                  <c:v>131344.25777777776</c:v>
                </c:pt>
                <c:pt idx="19">
                  <c:v>148457.42777777778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0F4-47A5-9D98-806C5151ECA2}"/>
            </c:ext>
          </c:extLst>
        </c:ser>
        <c:ser>
          <c:idx val="4"/>
          <c:order val="4"/>
          <c:tx>
            <c:strRef>
              <c:f>'Задание 2.2(собственный)'!$F$1</c:f>
              <c:strCache>
                <c:ptCount val="1"/>
                <c:pt idx="0">
                  <c:v>83,2</c:v>
                </c:pt>
              </c:strCache>
            </c:strRef>
          </c:tx>
          <c:spPr>
            <a:solidFill>
              <a:schemeClr val="accent5"/>
            </a:solidFill>
            <a:ln/>
            <a:effectLst/>
            <a:sp3d/>
          </c:spPr>
          <c:cat>
            <c:numRef>
              <c:f>'Задание 2.2(собственный)'!$A$2:$A$21</c:f>
              <c:numCache>
                <c:formatCode>General</c:formatCode>
                <c:ptCount val="20"/>
                <c:pt idx="0">
                  <c:v>-100</c:v>
                </c:pt>
                <c:pt idx="1">
                  <c:v>-54.2</c:v>
                </c:pt>
                <c:pt idx="2">
                  <c:v>-8.4000000000000092</c:v>
                </c:pt>
                <c:pt idx="3">
                  <c:v>37.4</c:v>
                </c:pt>
                <c:pt idx="4">
                  <c:v>83.2</c:v>
                </c:pt>
                <c:pt idx="5">
                  <c:v>129</c:v>
                </c:pt>
                <c:pt idx="6">
                  <c:v>174.8</c:v>
                </c:pt>
                <c:pt idx="7">
                  <c:v>220.6</c:v>
                </c:pt>
                <c:pt idx="8">
                  <c:v>266.39999999999998</c:v>
                </c:pt>
                <c:pt idx="9">
                  <c:v>312.2</c:v>
                </c:pt>
                <c:pt idx="10">
                  <c:v>358</c:v>
                </c:pt>
                <c:pt idx="11">
                  <c:v>403.8</c:v>
                </c:pt>
                <c:pt idx="12">
                  <c:v>449.6</c:v>
                </c:pt>
                <c:pt idx="13">
                  <c:v>495.4</c:v>
                </c:pt>
                <c:pt idx="14">
                  <c:v>541.20000000000005</c:v>
                </c:pt>
                <c:pt idx="15">
                  <c:v>587</c:v>
                </c:pt>
                <c:pt idx="16">
                  <c:v>632.79999999999995</c:v>
                </c:pt>
                <c:pt idx="17">
                  <c:v>678.6</c:v>
                </c:pt>
                <c:pt idx="18">
                  <c:v>724.4</c:v>
                </c:pt>
                <c:pt idx="19">
                  <c:v>770.2</c:v>
                </c:pt>
              </c:numCache>
            </c:numRef>
          </c:cat>
          <c:val>
            <c:numRef>
              <c:f>'Задание 2.2(собственный)'!$F$2:$F$21</c:f>
              <c:numCache>
                <c:formatCode>General</c:formatCode>
                <c:ptCount val="20"/>
                <c:pt idx="0">
                  <c:v>3269.137777777778</c:v>
                </c:pt>
                <c:pt idx="1">
                  <c:v>1503.5477777777778</c:v>
                </c:pt>
                <c:pt idx="2">
                  <c:v>786.77777777777783</c:v>
                </c:pt>
                <c:pt idx="3">
                  <c:v>1118.8277777777778</c:v>
                </c:pt>
                <c:pt idx="4">
                  <c:v>2499.6977777777779</c:v>
                </c:pt>
                <c:pt idx="5">
                  <c:v>4929.387777777778</c:v>
                </c:pt>
                <c:pt idx="6">
                  <c:v>8407.8977777777782</c:v>
                </c:pt>
                <c:pt idx="7">
                  <c:v>12935.227777777778</c:v>
                </c:pt>
                <c:pt idx="8">
                  <c:v>18511.377777777776</c:v>
                </c:pt>
                <c:pt idx="9">
                  <c:v>25136.347777777777</c:v>
                </c:pt>
                <c:pt idx="10">
                  <c:v>32810.137777777774</c:v>
                </c:pt>
                <c:pt idx="11">
                  <c:v>41532.747777777775</c:v>
                </c:pt>
                <c:pt idx="12">
                  <c:v>51304.177777777782</c:v>
                </c:pt>
                <c:pt idx="13">
                  <c:v>62124.427777777768</c:v>
                </c:pt>
                <c:pt idx="14">
                  <c:v>73993.497777777797</c:v>
                </c:pt>
                <c:pt idx="15">
                  <c:v>86911.387777777782</c:v>
                </c:pt>
                <c:pt idx="16">
                  <c:v>100878.09777777777</c:v>
                </c:pt>
                <c:pt idx="17">
                  <c:v>115893.62777777779</c:v>
                </c:pt>
                <c:pt idx="18">
                  <c:v>131957.97777777776</c:v>
                </c:pt>
                <c:pt idx="19">
                  <c:v>149071.14777777778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0F4-47A5-9D98-806C5151ECA2}"/>
            </c:ext>
          </c:extLst>
        </c:ser>
        <c:ser>
          <c:idx val="5"/>
          <c:order val="5"/>
          <c:tx>
            <c:strRef>
              <c:f>'Задание 2.2(собственный)'!$G$1</c:f>
              <c:strCache>
                <c:ptCount val="1"/>
                <c:pt idx="0">
                  <c:v>129</c:v>
                </c:pt>
              </c:strCache>
            </c:strRef>
          </c:tx>
          <c:spPr>
            <a:solidFill>
              <a:schemeClr val="accent6"/>
            </a:solidFill>
            <a:ln/>
            <a:effectLst/>
            <a:sp3d/>
          </c:spPr>
          <c:cat>
            <c:numRef>
              <c:f>'Задание 2.2(собственный)'!$A$2:$A$21</c:f>
              <c:numCache>
                <c:formatCode>General</c:formatCode>
                <c:ptCount val="20"/>
                <c:pt idx="0">
                  <c:v>-100</c:v>
                </c:pt>
                <c:pt idx="1">
                  <c:v>-54.2</c:v>
                </c:pt>
                <c:pt idx="2">
                  <c:v>-8.4000000000000092</c:v>
                </c:pt>
                <c:pt idx="3">
                  <c:v>37.4</c:v>
                </c:pt>
                <c:pt idx="4">
                  <c:v>83.2</c:v>
                </c:pt>
                <c:pt idx="5">
                  <c:v>129</c:v>
                </c:pt>
                <c:pt idx="6">
                  <c:v>174.8</c:v>
                </c:pt>
                <c:pt idx="7">
                  <c:v>220.6</c:v>
                </c:pt>
                <c:pt idx="8">
                  <c:v>266.39999999999998</c:v>
                </c:pt>
                <c:pt idx="9">
                  <c:v>312.2</c:v>
                </c:pt>
                <c:pt idx="10">
                  <c:v>358</c:v>
                </c:pt>
                <c:pt idx="11">
                  <c:v>403.8</c:v>
                </c:pt>
                <c:pt idx="12">
                  <c:v>449.6</c:v>
                </c:pt>
                <c:pt idx="13">
                  <c:v>495.4</c:v>
                </c:pt>
                <c:pt idx="14">
                  <c:v>541.20000000000005</c:v>
                </c:pt>
                <c:pt idx="15">
                  <c:v>587</c:v>
                </c:pt>
                <c:pt idx="16">
                  <c:v>632.79999999999995</c:v>
                </c:pt>
                <c:pt idx="17">
                  <c:v>678.6</c:v>
                </c:pt>
                <c:pt idx="18">
                  <c:v>724.4</c:v>
                </c:pt>
                <c:pt idx="19">
                  <c:v>770.2</c:v>
                </c:pt>
              </c:numCache>
            </c:numRef>
          </c:cat>
          <c:val>
            <c:numRef>
              <c:f>'Задание 2.2(собственный)'!$G$2:$G$21</c:f>
              <c:numCache>
                <c:formatCode>General</c:formatCode>
                <c:ptCount val="20"/>
                <c:pt idx="0">
                  <c:v>4349</c:v>
                </c:pt>
                <c:pt idx="1">
                  <c:v>2583.41</c:v>
                </c:pt>
                <c:pt idx="2">
                  <c:v>1866.64</c:v>
                </c:pt>
                <c:pt idx="3">
                  <c:v>2198.69</c:v>
                </c:pt>
                <c:pt idx="4">
                  <c:v>3579.5600000000004</c:v>
                </c:pt>
                <c:pt idx="5">
                  <c:v>6009.25</c:v>
                </c:pt>
                <c:pt idx="6">
                  <c:v>9487.760000000002</c:v>
                </c:pt>
                <c:pt idx="7">
                  <c:v>14015.09</c:v>
                </c:pt>
                <c:pt idx="8">
                  <c:v>19591.239999999998</c:v>
                </c:pt>
                <c:pt idx="9">
                  <c:v>26216.21</c:v>
                </c:pt>
                <c:pt idx="10">
                  <c:v>33890</c:v>
                </c:pt>
                <c:pt idx="11">
                  <c:v>42612.61</c:v>
                </c:pt>
                <c:pt idx="12">
                  <c:v>52384.040000000008</c:v>
                </c:pt>
                <c:pt idx="13">
                  <c:v>63204.289999999994</c:v>
                </c:pt>
                <c:pt idx="14">
                  <c:v>75073.360000000015</c:v>
                </c:pt>
                <c:pt idx="15">
                  <c:v>87991.25</c:v>
                </c:pt>
                <c:pt idx="16">
                  <c:v>101957.95999999999</c:v>
                </c:pt>
                <c:pt idx="17">
                  <c:v>116973.49</c:v>
                </c:pt>
                <c:pt idx="18">
                  <c:v>133037.84</c:v>
                </c:pt>
                <c:pt idx="19">
                  <c:v>150151.01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0F4-47A5-9D98-806C5151ECA2}"/>
            </c:ext>
          </c:extLst>
        </c:ser>
        <c:ser>
          <c:idx val="6"/>
          <c:order val="6"/>
          <c:tx>
            <c:strRef>
              <c:f>'Задание 2.2(собственный)'!$H$1</c:f>
              <c:strCache>
                <c:ptCount val="1"/>
                <c:pt idx="0">
                  <c:v>174,8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cat>
            <c:numRef>
              <c:f>'Задание 2.2(собственный)'!$A$2:$A$21</c:f>
              <c:numCache>
                <c:formatCode>General</c:formatCode>
                <c:ptCount val="20"/>
                <c:pt idx="0">
                  <c:v>-100</c:v>
                </c:pt>
                <c:pt idx="1">
                  <c:v>-54.2</c:v>
                </c:pt>
                <c:pt idx="2">
                  <c:v>-8.4000000000000092</c:v>
                </c:pt>
                <c:pt idx="3">
                  <c:v>37.4</c:v>
                </c:pt>
                <c:pt idx="4">
                  <c:v>83.2</c:v>
                </c:pt>
                <c:pt idx="5">
                  <c:v>129</c:v>
                </c:pt>
                <c:pt idx="6">
                  <c:v>174.8</c:v>
                </c:pt>
                <c:pt idx="7">
                  <c:v>220.6</c:v>
                </c:pt>
                <c:pt idx="8">
                  <c:v>266.39999999999998</c:v>
                </c:pt>
                <c:pt idx="9">
                  <c:v>312.2</c:v>
                </c:pt>
                <c:pt idx="10">
                  <c:v>358</c:v>
                </c:pt>
                <c:pt idx="11">
                  <c:v>403.8</c:v>
                </c:pt>
                <c:pt idx="12">
                  <c:v>449.6</c:v>
                </c:pt>
                <c:pt idx="13">
                  <c:v>495.4</c:v>
                </c:pt>
                <c:pt idx="14">
                  <c:v>541.20000000000005</c:v>
                </c:pt>
                <c:pt idx="15">
                  <c:v>587</c:v>
                </c:pt>
                <c:pt idx="16">
                  <c:v>632.79999999999995</c:v>
                </c:pt>
                <c:pt idx="17">
                  <c:v>678.6</c:v>
                </c:pt>
                <c:pt idx="18">
                  <c:v>724.4</c:v>
                </c:pt>
                <c:pt idx="19">
                  <c:v>770.2</c:v>
                </c:pt>
              </c:numCache>
            </c:numRef>
          </c:cat>
          <c:val>
            <c:numRef>
              <c:f>'Задание 2.2(собственный)'!$H$2:$H$21</c:f>
              <c:numCache>
                <c:formatCode>General</c:formatCode>
                <c:ptCount val="20"/>
                <c:pt idx="0">
                  <c:v>5895.0044444444447</c:v>
                </c:pt>
                <c:pt idx="1">
                  <c:v>4129.4144444444446</c:v>
                </c:pt>
                <c:pt idx="2">
                  <c:v>3412.6444444444446</c:v>
                </c:pt>
                <c:pt idx="3">
                  <c:v>3744.6944444444448</c:v>
                </c:pt>
                <c:pt idx="4">
                  <c:v>5125.5644444444451</c:v>
                </c:pt>
                <c:pt idx="5">
                  <c:v>7555.2544444444447</c:v>
                </c:pt>
                <c:pt idx="6">
                  <c:v>11033.764444444445</c:v>
                </c:pt>
                <c:pt idx="7">
                  <c:v>15561.094444444445</c:v>
                </c:pt>
                <c:pt idx="8">
                  <c:v>21137.244444444441</c:v>
                </c:pt>
                <c:pt idx="9">
                  <c:v>27762.214444444442</c:v>
                </c:pt>
                <c:pt idx="10">
                  <c:v>35436.004444444443</c:v>
                </c:pt>
                <c:pt idx="11">
                  <c:v>44158.614444444444</c:v>
                </c:pt>
                <c:pt idx="12">
                  <c:v>53930.044444444451</c:v>
                </c:pt>
                <c:pt idx="13">
                  <c:v>64750.294444444437</c:v>
                </c:pt>
                <c:pt idx="14">
                  <c:v>76619.364444444465</c:v>
                </c:pt>
                <c:pt idx="15">
                  <c:v>89537.25444444445</c:v>
                </c:pt>
                <c:pt idx="16">
                  <c:v>103503.96444444444</c:v>
                </c:pt>
                <c:pt idx="17">
                  <c:v>118519.49444444446</c:v>
                </c:pt>
                <c:pt idx="18">
                  <c:v>134583.84444444443</c:v>
                </c:pt>
                <c:pt idx="19">
                  <c:v>151697.01444444444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0F4-47A5-9D98-806C5151ECA2}"/>
            </c:ext>
          </c:extLst>
        </c:ser>
        <c:ser>
          <c:idx val="7"/>
          <c:order val="7"/>
          <c:tx>
            <c:strRef>
              <c:f>'Задание 2.2(собственный)'!$I$1</c:f>
              <c:strCache>
                <c:ptCount val="1"/>
                <c:pt idx="0">
                  <c:v>220,6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cat>
            <c:numRef>
              <c:f>'Задание 2.2(собственный)'!$A$2:$A$21</c:f>
              <c:numCache>
                <c:formatCode>General</c:formatCode>
                <c:ptCount val="20"/>
                <c:pt idx="0">
                  <c:v>-100</c:v>
                </c:pt>
                <c:pt idx="1">
                  <c:v>-54.2</c:v>
                </c:pt>
                <c:pt idx="2">
                  <c:v>-8.4000000000000092</c:v>
                </c:pt>
                <c:pt idx="3">
                  <c:v>37.4</c:v>
                </c:pt>
                <c:pt idx="4">
                  <c:v>83.2</c:v>
                </c:pt>
                <c:pt idx="5">
                  <c:v>129</c:v>
                </c:pt>
                <c:pt idx="6">
                  <c:v>174.8</c:v>
                </c:pt>
                <c:pt idx="7">
                  <c:v>220.6</c:v>
                </c:pt>
                <c:pt idx="8">
                  <c:v>266.39999999999998</c:v>
                </c:pt>
                <c:pt idx="9">
                  <c:v>312.2</c:v>
                </c:pt>
                <c:pt idx="10">
                  <c:v>358</c:v>
                </c:pt>
                <c:pt idx="11">
                  <c:v>403.8</c:v>
                </c:pt>
                <c:pt idx="12">
                  <c:v>449.6</c:v>
                </c:pt>
                <c:pt idx="13">
                  <c:v>495.4</c:v>
                </c:pt>
                <c:pt idx="14">
                  <c:v>541.20000000000005</c:v>
                </c:pt>
                <c:pt idx="15">
                  <c:v>587</c:v>
                </c:pt>
                <c:pt idx="16">
                  <c:v>632.79999999999995</c:v>
                </c:pt>
                <c:pt idx="17">
                  <c:v>678.6</c:v>
                </c:pt>
                <c:pt idx="18">
                  <c:v>724.4</c:v>
                </c:pt>
                <c:pt idx="19">
                  <c:v>770.2</c:v>
                </c:pt>
              </c:numCache>
            </c:numRef>
          </c:cat>
          <c:val>
            <c:numRef>
              <c:f>'Задание 2.2(собственный)'!$I$2:$I$21</c:f>
              <c:numCache>
                <c:formatCode>General</c:formatCode>
                <c:ptCount val="20"/>
                <c:pt idx="0">
                  <c:v>7907.1511111111113</c:v>
                </c:pt>
                <c:pt idx="1">
                  <c:v>6141.5611111111111</c:v>
                </c:pt>
                <c:pt idx="2">
                  <c:v>5424.7911111111116</c:v>
                </c:pt>
                <c:pt idx="3">
                  <c:v>5756.8411111111109</c:v>
                </c:pt>
                <c:pt idx="4">
                  <c:v>7137.7111111111117</c:v>
                </c:pt>
                <c:pt idx="5">
                  <c:v>9567.4011111111104</c:v>
                </c:pt>
                <c:pt idx="6">
                  <c:v>13045.911111111112</c:v>
                </c:pt>
                <c:pt idx="7">
                  <c:v>17573.241111111111</c:v>
                </c:pt>
                <c:pt idx="8">
                  <c:v>23149.391111111108</c:v>
                </c:pt>
                <c:pt idx="9">
                  <c:v>29774.361111111109</c:v>
                </c:pt>
                <c:pt idx="10">
                  <c:v>37448.15111111111</c:v>
                </c:pt>
                <c:pt idx="11">
                  <c:v>46170.761111111111</c:v>
                </c:pt>
                <c:pt idx="12">
                  <c:v>55942.191111111119</c:v>
                </c:pt>
                <c:pt idx="13">
                  <c:v>66762.441111111111</c:v>
                </c:pt>
                <c:pt idx="14">
                  <c:v>78631.511111111133</c:v>
                </c:pt>
                <c:pt idx="15">
                  <c:v>91549.401111111118</c:v>
                </c:pt>
                <c:pt idx="16">
                  <c:v>105516.11111111111</c:v>
                </c:pt>
                <c:pt idx="17">
                  <c:v>120531.64111111112</c:v>
                </c:pt>
                <c:pt idx="18">
                  <c:v>136595.9911111111</c:v>
                </c:pt>
                <c:pt idx="19">
                  <c:v>153709.16111111111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0F4-47A5-9D98-806C5151ECA2}"/>
            </c:ext>
          </c:extLst>
        </c:ser>
        <c:ser>
          <c:idx val="8"/>
          <c:order val="8"/>
          <c:tx>
            <c:strRef>
              <c:f>'Задание 2.2(собственный)'!$J$1</c:f>
              <c:strCache>
                <c:ptCount val="1"/>
                <c:pt idx="0">
                  <c:v>266,4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cat>
            <c:numRef>
              <c:f>'Задание 2.2(собственный)'!$A$2:$A$21</c:f>
              <c:numCache>
                <c:formatCode>General</c:formatCode>
                <c:ptCount val="20"/>
                <c:pt idx="0">
                  <c:v>-100</c:v>
                </c:pt>
                <c:pt idx="1">
                  <c:v>-54.2</c:v>
                </c:pt>
                <c:pt idx="2">
                  <c:v>-8.4000000000000092</c:v>
                </c:pt>
                <c:pt idx="3">
                  <c:v>37.4</c:v>
                </c:pt>
                <c:pt idx="4">
                  <c:v>83.2</c:v>
                </c:pt>
                <c:pt idx="5">
                  <c:v>129</c:v>
                </c:pt>
                <c:pt idx="6">
                  <c:v>174.8</c:v>
                </c:pt>
                <c:pt idx="7">
                  <c:v>220.6</c:v>
                </c:pt>
                <c:pt idx="8">
                  <c:v>266.39999999999998</c:v>
                </c:pt>
                <c:pt idx="9">
                  <c:v>312.2</c:v>
                </c:pt>
                <c:pt idx="10">
                  <c:v>358</c:v>
                </c:pt>
                <c:pt idx="11">
                  <c:v>403.8</c:v>
                </c:pt>
                <c:pt idx="12">
                  <c:v>449.6</c:v>
                </c:pt>
                <c:pt idx="13">
                  <c:v>495.4</c:v>
                </c:pt>
                <c:pt idx="14">
                  <c:v>541.20000000000005</c:v>
                </c:pt>
                <c:pt idx="15">
                  <c:v>587</c:v>
                </c:pt>
                <c:pt idx="16">
                  <c:v>632.79999999999995</c:v>
                </c:pt>
                <c:pt idx="17">
                  <c:v>678.6</c:v>
                </c:pt>
                <c:pt idx="18">
                  <c:v>724.4</c:v>
                </c:pt>
                <c:pt idx="19">
                  <c:v>770.2</c:v>
                </c:pt>
              </c:numCache>
            </c:numRef>
          </c:cat>
          <c:val>
            <c:numRef>
              <c:f>'Задание 2.2(собственный)'!$J$2:$J$21</c:f>
              <c:numCache>
                <c:formatCode>General</c:formatCode>
                <c:ptCount val="20"/>
                <c:pt idx="0">
                  <c:v>10385.439999999999</c:v>
                </c:pt>
                <c:pt idx="1">
                  <c:v>8619.8499999999985</c:v>
                </c:pt>
                <c:pt idx="2">
                  <c:v>7903.079999999999</c:v>
                </c:pt>
                <c:pt idx="3">
                  <c:v>8235.1299999999992</c:v>
                </c:pt>
                <c:pt idx="4">
                  <c:v>9615.9999999999982</c:v>
                </c:pt>
                <c:pt idx="5">
                  <c:v>12045.689999999999</c:v>
                </c:pt>
                <c:pt idx="6">
                  <c:v>15524.2</c:v>
                </c:pt>
                <c:pt idx="7">
                  <c:v>20051.53</c:v>
                </c:pt>
                <c:pt idx="8">
                  <c:v>25627.679999999997</c:v>
                </c:pt>
                <c:pt idx="9">
                  <c:v>32252.649999999998</c:v>
                </c:pt>
                <c:pt idx="10">
                  <c:v>39926.44</c:v>
                </c:pt>
                <c:pt idx="11">
                  <c:v>48649.05</c:v>
                </c:pt>
                <c:pt idx="12">
                  <c:v>58420.48000000001</c:v>
                </c:pt>
                <c:pt idx="13">
                  <c:v>69240.73</c:v>
                </c:pt>
                <c:pt idx="14">
                  <c:v>81109.800000000017</c:v>
                </c:pt>
                <c:pt idx="15">
                  <c:v>94027.69</c:v>
                </c:pt>
                <c:pt idx="16">
                  <c:v>107994.4</c:v>
                </c:pt>
                <c:pt idx="17">
                  <c:v>123009.93000000001</c:v>
                </c:pt>
                <c:pt idx="18">
                  <c:v>139074.28</c:v>
                </c:pt>
                <c:pt idx="19">
                  <c:v>156187.45000000001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0F4-47A5-9D98-806C5151ECA2}"/>
            </c:ext>
          </c:extLst>
        </c:ser>
        <c:ser>
          <c:idx val="9"/>
          <c:order val="9"/>
          <c:tx>
            <c:strRef>
              <c:f>'Задание 2.2(собственный)'!$K$1</c:f>
              <c:strCache>
                <c:ptCount val="1"/>
                <c:pt idx="0">
                  <c:v>312,2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cat>
            <c:numRef>
              <c:f>'Задание 2.2(собственный)'!$A$2:$A$21</c:f>
              <c:numCache>
                <c:formatCode>General</c:formatCode>
                <c:ptCount val="20"/>
                <c:pt idx="0">
                  <c:v>-100</c:v>
                </c:pt>
                <c:pt idx="1">
                  <c:v>-54.2</c:v>
                </c:pt>
                <c:pt idx="2">
                  <c:v>-8.4000000000000092</c:v>
                </c:pt>
                <c:pt idx="3">
                  <c:v>37.4</c:v>
                </c:pt>
                <c:pt idx="4">
                  <c:v>83.2</c:v>
                </c:pt>
                <c:pt idx="5">
                  <c:v>129</c:v>
                </c:pt>
                <c:pt idx="6">
                  <c:v>174.8</c:v>
                </c:pt>
                <c:pt idx="7">
                  <c:v>220.6</c:v>
                </c:pt>
                <c:pt idx="8">
                  <c:v>266.39999999999998</c:v>
                </c:pt>
                <c:pt idx="9">
                  <c:v>312.2</c:v>
                </c:pt>
                <c:pt idx="10">
                  <c:v>358</c:v>
                </c:pt>
                <c:pt idx="11">
                  <c:v>403.8</c:v>
                </c:pt>
                <c:pt idx="12">
                  <c:v>449.6</c:v>
                </c:pt>
                <c:pt idx="13">
                  <c:v>495.4</c:v>
                </c:pt>
                <c:pt idx="14">
                  <c:v>541.20000000000005</c:v>
                </c:pt>
                <c:pt idx="15">
                  <c:v>587</c:v>
                </c:pt>
                <c:pt idx="16">
                  <c:v>632.79999999999995</c:v>
                </c:pt>
                <c:pt idx="17">
                  <c:v>678.6</c:v>
                </c:pt>
                <c:pt idx="18">
                  <c:v>724.4</c:v>
                </c:pt>
                <c:pt idx="19">
                  <c:v>770.2</c:v>
                </c:pt>
              </c:numCache>
            </c:numRef>
          </c:cat>
          <c:val>
            <c:numRef>
              <c:f>'Задание 2.2(собственный)'!$K$2:$K$21</c:f>
              <c:numCache>
                <c:formatCode>General</c:formatCode>
                <c:ptCount val="20"/>
                <c:pt idx="0">
                  <c:v>13329.871111111112</c:v>
                </c:pt>
                <c:pt idx="1">
                  <c:v>11564.281111111111</c:v>
                </c:pt>
                <c:pt idx="2">
                  <c:v>10847.511111111111</c:v>
                </c:pt>
                <c:pt idx="3">
                  <c:v>11179.561111111112</c:v>
                </c:pt>
                <c:pt idx="4">
                  <c:v>12560.431111111111</c:v>
                </c:pt>
                <c:pt idx="5">
                  <c:v>14990.121111111112</c:v>
                </c:pt>
                <c:pt idx="6">
                  <c:v>18468.631111111114</c:v>
                </c:pt>
                <c:pt idx="7">
                  <c:v>22995.961111111112</c:v>
                </c:pt>
                <c:pt idx="8">
                  <c:v>28572.111111111109</c:v>
                </c:pt>
                <c:pt idx="9">
                  <c:v>35197.081111111111</c:v>
                </c:pt>
                <c:pt idx="10">
                  <c:v>42870.871111111112</c:v>
                </c:pt>
                <c:pt idx="11">
                  <c:v>51593.481111111112</c:v>
                </c:pt>
                <c:pt idx="12">
                  <c:v>61364.91111111112</c:v>
                </c:pt>
                <c:pt idx="13">
                  <c:v>72185.161111111112</c:v>
                </c:pt>
                <c:pt idx="14">
                  <c:v>84054.231111111119</c:v>
                </c:pt>
                <c:pt idx="15">
                  <c:v>96972.121111111104</c:v>
                </c:pt>
                <c:pt idx="16">
                  <c:v>110938.8311111111</c:v>
                </c:pt>
                <c:pt idx="17">
                  <c:v>125954.36111111112</c:v>
                </c:pt>
                <c:pt idx="18">
                  <c:v>142018.7111111111</c:v>
                </c:pt>
                <c:pt idx="19">
                  <c:v>159131.88111111111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0F4-47A5-9D98-806C5151ECA2}"/>
            </c:ext>
          </c:extLst>
        </c:ser>
        <c:ser>
          <c:idx val="10"/>
          <c:order val="10"/>
          <c:tx>
            <c:strRef>
              <c:f>'Задание 2.2(собственный)'!$L$1</c:f>
              <c:strCache>
                <c:ptCount val="1"/>
                <c:pt idx="0">
                  <c:v>358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cat>
            <c:numRef>
              <c:f>'Задание 2.2(собственный)'!$A$2:$A$21</c:f>
              <c:numCache>
                <c:formatCode>General</c:formatCode>
                <c:ptCount val="20"/>
                <c:pt idx="0">
                  <c:v>-100</c:v>
                </c:pt>
                <c:pt idx="1">
                  <c:v>-54.2</c:v>
                </c:pt>
                <c:pt idx="2">
                  <c:v>-8.4000000000000092</c:v>
                </c:pt>
                <c:pt idx="3">
                  <c:v>37.4</c:v>
                </c:pt>
                <c:pt idx="4">
                  <c:v>83.2</c:v>
                </c:pt>
                <c:pt idx="5">
                  <c:v>129</c:v>
                </c:pt>
                <c:pt idx="6">
                  <c:v>174.8</c:v>
                </c:pt>
                <c:pt idx="7">
                  <c:v>220.6</c:v>
                </c:pt>
                <c:pt idx="8">
                  <c:v>266.39999999999998</c:v>
                </c:pt>
                <c:pt idx="9">
                  <c:v>312.2</c:v>
                </c:pt>
                <c:pt idx="10">
                  <c:v>358</c:v>
                </c:pt>
                <c:pt idx="11">
                  <c:v>403.8</c:v>
                </c:pt>
                <c:pt idx="12">
                  <c:v>449.6</c:v>
                </c:pt>
                <c:pt idx="13">
                  <c:v>495.4</c:v>
                </c:pt>
                <c:pt idx="14">
                  <c:v>541.20000000000005</c:v>
                </c:pt>
                <c:pt idx="15">
                  <c:v>587</c:v>
                </c:pt>
                <c:pt idx="16">
                  <c:v>632.79999999999995</c:v>
                </c:pt>
                <c:pt idx="17">
                  <c:v>678.6</c:v>
                </c:pt>
                <c:pt idx="18">
                  <c:v>724.4</c:v>
                </c:pt>
                <c:pt idx="19">
                  <c:v>770.2</c:v>
                </c:pt>
              </c:numCache>
            </c:numRef>
          </c:cat>
          <c:val>
            <c:numRef>
              <c:f>'Задание 2.2(собственный)'!$L$2:$L$21</c:f>
              <c:numCache>
                <c:formatCode>General</c:formatCode>
                <c:ptCount val="20"/>
                <c:pt idx="0">
                  <c:v>16740.444444444445</c:v>
                </c:pt>
                <c:pt idx="1">
                  <c:v>14974.854444444445</c:v>
                </c:pt>
                <c:pt idx="2">
                  <c:v>14258.084444444445</c:v>
                </c:pt>
                <c:pt idx="3">
                  <c:v>14590.134444444446</c:v>
                </c:pt>
                <c:pt idx="4">
                  <c:v>15971.004444444445</c:v>
                </c:pt>
                <c:pt idx="5">
                  <c:v>18400.694444444445</c:v>
                </c:pt>
                <c:pt idx="6">
                  <c:v>21879.204444444447</c:v>
                </c:pt>
                <c:pt idx="7">
                  <c:v>26406.534444444445</c:v>
                </c:pt>
                <c:pt idx="8">
                  <c:v>31982.684444444443</c:v>
                </c:pt>
                <c:pt idx="9">
                  <c:v>38607.654444444444</c:v>
                </c:pt>
                <c:pt idx="10">
                  <c:v>46281.444444444445</c:v>
                </c:pt>
                <c:pt idx="11">
                  <c:v>55004.054444444446</c:v>
                </c:pt>
                <c:pt idx="12">
                  <c:v>64775.484444444453</c:v>
                </c:pt>
                <c:pt idx="13">
                  <c:v>75595.734444444446</c:v>
                </c:pt>
                <c:pt idx="14">
                  <c:v>87464.804444444453</c:v>
                </c:pt>
                <c:pt idx="15">
                  <c:v>100382.69444444444</c:v>
                </c:pt>
                <c:pt idx="16">
                  <c:v>114349.40444444443</c:v>
                </c:pt>
                <c:pt idx="17">
                  <c:v>129364.93444444446</c:v>
                </c:pt>
                <c:pt idx="18">
                  <c:v>145429.28444444443</c:v>
                </c:pt>
                <c:pt idx="19">
                  <c:v>162542.45444444445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0F4-47A5-9D98-806C5151ECA2}"/>
            </c:ext>
          </c:extLst>
        </c:ser>
        <c:ser>
          <c:idx val="11"/>
          <c:order val="11"/>
          <c:tx>
            <c:strRef>
              <c:f>'Задание 2.2(собственный)'!$M$1</c:f>
              <c:strCache>
                <c:ptCount val="1"/>
                <c:pt idx="0">
                  <c:v>403,8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/>
            <a:effectLst/>
            <a:sp3d/>
          </c:spPr>
          <c:cat>
            <c:numRef>
              <c:f>'Задание 2.2(собственный)'!$A$2:$A$21</c:f>
              <c:numCache>
                <c:formatCode>General</c:formatCode>
                <c:ptCount val="20"/>
                <c:pt idx="0">
                  <c:v>-100</c:v>
                </c:pt>
                <c:pt idx="1">
                  <c:v>-54.2</c:v>
                </c:pt>
                <c:pt idx="2">
                  <c:v>-8.4000000000000092</c:v>
                </c:pt>
                <c:pt idx="3">
                  <c:v>37.4</c:v>
                </c:pt>
                <c:pt idx="4">
                  <c:v>83.2</c:v>
                </c:pt>
                <c:pt idx="5">
                  <c:v>129</c:v>
                </c:pt>
                <c:pt idx="6">
                  <c:v>174.8</c:v>
                </c:pt>
                <c:pt idx="7">
                  <c:v>220.6</c:v>
                </c:pt>
                <c:pt idx="8">
                  <c:v>266.39999999999998</c:v>
                </c:pt>
                <c:pt idx="9">
                  <c:v>312.2</c:v>
                </c:pt>
                <c:pt idx="10">
                  <c:v>358</c:v>
                </c:pt>
                <c:pt idx="11">
                  <c:v>403.8</c:v>
                </c:pt>
                <c:pt idx="12">
                  <c:v>449.6</c:v>
                </c:pt>
                <c:pt idx="13">
                  <c:v>495.4</c:v>
                </c:pt>
                <c:pt idx="14">
                  <c:v>541.20000000000005</c:v>
                </c:pt>
                <c:pt idx="15">
                  <c:v>587</c:v>
                </c:pt>
                <c:pt idx="16">
                  <c:v>632.79999999999995</c:v>
                </c:pt>
                <c:pt idx="17">
                  <c:v>678.6</c:v>
                </c:pt>
                <c:pt idx="18">
                  <c:v>724.4</c:v>
                </c:pt>
                <c:pt idx="19">
                  <c:v>770.2</c:v>
                </c:pt>
              </c:numCache>
            </c:numRef>
          </c:cat>
          <c:val>
            <c:numRef>
              <c:f>'Задание 2.2(собственный)'!$M$2:$M$21</c:f>
              <c:numCache>
                <c:formatCode>General</c:formatCode>
                <c:ptCount val="20"/>
                <c:pt idx="0">
                  <c:v>20617.16</c:v>
                </c:pt>
                <c:pt idx="1">
                  <c:v>18851.57</c:v>
                </c:pt>
                <c:pt idx="2">
                  <c:v>18134.8</c:v>
                </c:pt>
                <c:pt idx="3">
                  <c:v>18466.849999999999</c:v>
                </c:pt>
                <c:pt idx="4">
                  <c:v>19847.72</c:v>
                </c:pt>
                <c:pt idx="5">
                  <c:v>22277.41</c:v>
                </c:pt>
                <c:pt idx="6">
                  <c:v>25755.920000000002</c:v>
                </c:pt>
                <c:pt idx="7">
                  <c:v>30283.25</c:v>
                </c:pt>
                <c:pt idx="8">
                  <c:v>35859.399999999994</c:v>
                </c:pt>
                <c:pt idx="9">
                  <c:v>42484.369999999995</c:v>
                </c:pt>
                <c:pt idx="10">
                  <c:v>50158.16</c:v>
                </c:pt>
                <c:pt idx="11">
                  <c:v>58880.770000000004</c:v>
                </c:pt>
                <c:pt idx="12">
                  <c:v>68652.200000000012</c:v>
                </c:pt>
                <c:pt idx="13">
                  <c:v>79472.45</c:v>
                </c:pt>
                <c:pt idx="14">
                  <c:v>91341.520000000019</c:v>
                </c:pt>
                <c:pt idx="15">
                  <c:v>104259.41</c:v>
                </c:pt>
                <c:pt idx="16">
                  <c:v>118226.12</c:v>
                </c:pt>
                <c:pt idx="17">
                  <c:v>133241.65</c:v>
                </c:pt>
                <c:pt idx="18">
                  <c:v>149306</c:v>
                </c:pt>
                <c:pt idx="19">
                  <c:v>166419.17000000001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0F4-47A5-9D98-806C5151ECA2}"/>
            </c:ext>
          </c:extLst>
        </c:ser>
        <c:ser>
          <c:idx val="12"/>
          <c:order val="12"/>
          <c:tx>
            <c:strRef>
              <c:f>'Задание 2.2(собственный)'!$N$1</c:f>
              <c:strCache>
                <c:ptCount val="1"/>
                <c:pt idx="0">
                  <c:v>449,6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'Задание 2.2(собственный)'!$A$2:$A$21</c:f>
              <c:numCache>
                <c:formatCode>General</c:formatCode>
                <c:ptCount val="20"/>
                <c:pt idx="0">
                  <c:v>-100</c:v>
                </c:pt>
                <c:pt idx="1">
                  <c:v>-54.2</c:v>
                </c:pt>
                <c:pt idx="2">
                  <c:v>-8.4000000000000092</c:v>
                </c:pt>
                <c:pt idx="3">
                  <c:v>37.4</c:v>
                </c:pt>
                <c:pt idx="4">
                  <c:v>83.2</c:v>
                </c:pt>
                <c:pt idx="5">
                  <c:v>129</c:v>
                </c:pt>
                <c:pt idx="6">
                  <c:v>174.8</c:v>
                </c:pt>
                <c:pt idx="7">
                  <c:v>220.6</c:v>
                </c:pt>
                <c:pt idx="8">
                  <c:v>266.39999999999998</c:v>
                </c:pt>
                <c:pt idx="9">
                  <c:v>312.2</c:v>
                </c:pt>
                <c:pt idx="10">
                  <c:v>358</c:v>
                </c:pt>
                <c:pt idx="11">
                  <c:v>403.8</c:v>
                </c:pt>
                <c:pt idx="12">
                  <c:v>449.6</c:v>
                </c:pt>
                <c:pt idx="13">
                  <c:v>495.4</c:v>
                </c:pt>
                <c:pt idx="14">
                  <c:v>541.20000000000005</c:v>
                </c:pt>
                <c:pt idx="15">
                  <c:v>587</c:v>
                </c:pt>
                <c:pt idx="16">
                  <c:v>632.79999999999995</c:v>
                </c:pt>
                <c:pt idx="17">
                  <c:v>678.6</c:v>
                </c:pt>
                <c:pt idx="18">
                  <c:v>724.4</c:v>
                </c:pt>
                <c:pt idx="19">
                  <c:v>770.2</c:v>
                </c:pt>
              </c:numCache>
            </c:numRef>
          </c:cat>
          <c:val>
            <c:numRef>
              <c:f>'Задание 2.2(собственный)'!$N$2:$N$21</c:f>
              <c:numCache>
                <c:formatCode>General</c:formatCode>
                <c:ptCount val="20"/>
                <c:pt idx="0">
                  <c:v>24960.017777777783</c:v>
                </c:pt>
                <c:pt idx="1">
                  <c:v>23194.427777777782</c:v>
                </c:pt>
                <c:pt idx="2">
                  <c:v>22477.657777777782</c:v>
                </c:pt>
                <c:pt idx="3">
                  <c:v>22809.707777777781</c:v>
                </c:pt>
                <c:pt idx="4">
                  <c:v>24190.577777777784</c:v>
                </c:pt>
                <c:pt idx="5">
                  <c:v>26620.267777777783</c:v>
                </c:pt>
                <c:pt idx="6">
                  <c:v>30098.777777777785</c:v>
                </c:pt>
                <c:pt idx="7">
                  <c:v>34626.107777777783</c:v>
                </c:pt>
                <c:pt idx="8">
                  <c:v>40202.257777777777</c:v>
                </c:pt>
                <c:pt idx="9">
                  <c:v>46827.227777777778</c:v>
                </c:pt>
                <c:pt idx="10">
                  <c:v>54501.017777777786</c:v>
                </c:pt>
                <c:pt idx="11">
                  <c:v>63223.627777777787</c:v>
                </c:pt>
                <c:pt idx="12">
                  <c:v>72995.057777777794</c:v>
                </c:pt>
                <c:pt idx="13">
                  <c:v>83815.30777777778</c:v>
                </c:pt>
                <c:pt idx="14">
                  <c:v>95684.377777777801</c:v>
                </c:pt>
                <c:pt idx="15">
                  <c:v>108602.26777777779</c:v>
                </c:pt>
                <c:pt idx="16">
                  <c:v>122568.97777777778</c:v>
                </c:pt>
                <c:pt idx="17">
                  <c:v>137584.50777777779</c:v>
                </c:pt>
                <c:pt idx="18">
                  <c:v>153648.85777777777</c:v>
                </c:pt>
                <c:pt idx="19">
                  <c:v>170762.02777777778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0F4-47A5-9D98-806C5151ECA2}"/>
            </c:ext>
          </c:extLst>
        </c:ser>
        <c:ser>
          <c:idx val="13"/>
          <c:order val="13"/>
          <c:tx>
            <c:strRef>
              <c:f>'Задание 2.2(собственный)'!$O$1</c:f>
              <c:strCache>
                <c:ptCount val="1"/>
                <c:pt idx="0">
                  <c:v>495,4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/>
            <a:effectLst/>
            <a:sp3d/>
          </c:spPr>
          <c:cat>
            <c:numRef>
              <c:f>'Задание 2.2(собственный)'!$A$2:$A$21</c:f>
              <c:numCache>
                <c:formatCode>General</c:formatCode>
                <c:ptCount val="20"/>
                <c:pt idx="0">
                  <c:v>-100</c:v>
                </c:pt>
                <c:pt idx="1">
                  <c:v>-54.2</c:v>
                </c:pt>
                <c:pt idx="2">
                  <c:v>-8.4000000000000092</c:v>
                </c:pt>
                <c:pt idx="3">
                  <c:v>37.4</c:v>
                </c:pt>
                <c:pt idx="4">
                  <c:v>83.2</c:v>
                </c:pt>
                <c:pt idx="5">
                  <c:v>129</c:v>
                </c:pt>
                <c:pt idx="6">
                  <c:v>174.8</c:v>
                </c:pt>
                <c:pt idx="7">
                  <c:v>220.6</c:v>
                </c:pt>
                <c:pt idx="8">
                  <c:v>266.39999999999998</c:v>
                </c:pt>
                <c:pt idx="9">
                  <c:v>312.2</c:v>
                </c:pt>
                <c:pt idx="10">
                  <c:v>358</c:v>
                </c:pt>
                <c:pt idx="11">
                  <c:v>403.8</c:v>
                </c:pt>
                <c:pt idx="12">
                  <c:v>449.6</c:v>
                </c:pt>
                <c:pt idx="13">
                  <c:v>495.4</c:v>
                </c:pt>
                <c:pt idx="14">
                  <c:v>541.20000000000005</c:v>
                </c:pt>
                <c:pt idx="15">
                  <c:v>587</c:v>
                </c:pt>
                <c:pt idx="16">
                  <c:v>632.79999999999995</c:v>
                </c:pt>
                <c:pt idx="17">
                  <c:v>678.6</c:v>
                </c:pt>
                <c:pt idx="18">
                  <c:v>724.4</c:v>
                </c:pt>
                <c:pt idx="19">
                  <c:v>770.2</c:v>
                </c:pt>
              </c:numCache>
            </c:numRef>
          </c:cat>
          <c:val>
            <c:numRef>
              <c:f>'Задание 2.2(собственный)'!$O$2:$O$21</c:f>
              <c:numCache>
                <c:formatCode>General</c:formatCode>
                <c:ptCount val="20"/>
                <c:pt idx="0">
                  <c:v>29769.017777777775</c:v>
                </c:pt>
                <c:pt idx="1">
                  <c:v>28003.427777777775</c:v>
                </c:pt>
                <c:pt idx="2">
                  <c:v>27286.657777777775</c:v>
                </c:pt>
                <c:pt idx="3">
                  <c:v>27618.707777777774</c:v>
                </c:pt>
                <c:pt idx="4">
                  <c:v>28999.577777777777</c:v>
                </c:pt>
                <c:pt idx="5">
                  <c:v>31429.267777777775</c:v>
                </c:pt>
                <c:pt idx="6">
                  <c:v>34907.777777777774</c:v>
                </c:pt>
                <c:pt idx="7">
                  <c:v>39435.107777777775</c:v>
                </c:pt>
                <c:pt idx="8">
                  <c:v>45011.257777777777</c:v>
                </c:pt>
                <c:pt idx="9">
                  <c:v>51636.227777777778</c:v>
                </c:pt>
                <c:pt idx="10">
                  <c:v>59310.017777777772</c:v>
                </c:pt>
                <c:pt idx="11">
                  <c:v>68032.627777777772</c:v>
                </c:pt>
                <c:pt idx="12">
                  <c:v>77804.05777777778</c:v>
                </c:pt>
                <c:pt idx="13">
                  <c:v>88624.307777777765</c:v>
                </c:pt>
                <c:pt idx="14">
                  <c:v>100493.37777777779</c:v>
                </c:pt>
                <c:pt idx="15">
                  <c:v>113411.26777777777</c:v>
                </c:pt>
                <c:pt idx="16">
                  <c:v>127377.97777777776</c:v>
                </c:pt>
                <c:pt idx="17">
                  <c:v>142393.50777777779</c:v>
                </c:pt>
                <c:pt idx="18">
                  <c:v>158457.85777777777</c:v>
                </c:pt>
                <c:pt idx="19">
                  <c:v>175571.02777777778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0F4-47A5-9D98-806C5151ECA2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555917400"/>
        <c:axId val="555910184"/>
        <c:axId val="583039328"/>
      </c:surface3DChart>
      <c:catAx>
        <c:axId val="555917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5910184"/>
        <c:crosses val="autoZero"/>
        <c:auto val="1"/>
        <c:lblAlgn val="ctr"/>
        <c:lblOffset val="100"/>
        <c:noMultiLvlLbl val="0"/>
      </c:catAx>
      <c:valAx>
        <c:axId val="555910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5917400"/>
        <c:crosses val="autoZero"/>
        <c:crossBetween val="midCat"/>
      </c:valAx>
      <c:serAx>
        <c:axId val="58303932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5910184"/>
        <c:crosses val="autoZero"/>
      </c:ser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42861</xdr:rowOff>
    </xdr:from>
    <xdr:to>
      <xdr:col>6</xdr:col>
      <xdr:colOff>266700</xdr:colOff>
      <xdr:row>22</xdr:row>
      <xdr:rowOff>28574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24</xdr:row>
      <xdr:rowOff>171450</xdr:rowOff>
    </xdr:from>
    <xdr:to>
      <xdr:col>8</xdr:col>
      <xdr:colOff>9525</xdr:colOff>
      <xdr:row>44</xdr:row>
      <xdr:rowOff>104775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48</xdr:row>
      <xdr:rowOff>38099</xdr:rowOff>
    </xdr:from>
    <xdr:to>
      <xdr:col>6</xdr:col>
      <xdr:colOff>495300</xdr:colOff>
      <xdr:row>65</xdr:row>
      <xdr:rowOff>9524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68</xdr:row>
      <xdr:rowOff>28575</xdr:rowOff>
    </xdr:from>
    <xdr:to>
      <xdr:col>6</xdr:col>
      <xdr:colOff>523874</xdr:colOff>
      <xdr:row>83</xdr:row>
      <xdr:rowOff>19050</xdr:rowOff>
    </xdr:to>
    <xdr:graphicFrame macro="">
      <xdr:nvGraphicFramePr>
        <xdr:cNvPr id="7" name="Диаграмма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28574</xdr:rowOff>
    </xdr:from>
    <xdr:to>
      <xdr:col>12</xdr:col>
      <xdr:colOff>533400</xdr:colOff>
      <xdr:row>42</xdr:row>
      <xdr:rowOff>38099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180975</xdr:rowOff>
    </xdr:from>
    <xdr:to>
      <xdr:col>12</xdr:col>
      <xdr:colOff>0</xdr:colOff>
      <xdr:row>41</xdr:row>
      <xdr:rowOff>57150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8"/>
  <sheetViews>
    <sheetView topLeftCell="A76" zoomScaleNormal="100" workbookViewId="0">
      <selection activeCell="I77" sqref="I77"/>
    </sheetView>
  </sheetViews>
  <sheetFormatPr defaultRowHeight="15" x14ac:dyDescent="0.25"/>
  <cols>
    <col min="4" max="4" width="14.42578125" customWidth="1"/>
    <col min="5" max="5" width="18" customWidth="1"/>
    <col min="6" max="6" width="19.85546875" customWidth="1"/>
    <col min="7" max="7" width="24.42578125" customWidth="1"/>
  </cols>
  <sheetData>
    <row r="1" spans="1:13" ht="15.75" x14ac:dyDescent="0.25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9</v>
      </c>
    </row>
    <row r="2" spans="1:13" ht="15.75" x14ac:dyDescent="0.25">
      <c r="A2" s="2">
        <v>24</v>
      </c>
      <c r="B2" s="2">
        <v>1</v>
      </c>
      <c r="C2" s="2">
        <v>2004</v>
      </c>
      <c r="D2" s="2">
        <v>5</v>
      </c>
      <c r="E2" s="2">
        <v>414</v>
      </c>
      <c r="F2" s="2">
        <v>17</v>
      </c>
      <c r="G2" s="6">
        <v>1</v>
      </c>
    </row>
    <row r="5" spans="1:13" ht="15.75" x14ac:dyDescent="0.25">
      <c r="A5" s="1" t="s">
        <v>6</v>
      </c>
      <c r="B5" s="2">
        <v>-2</v>
      </c>
      <c r="C5" s="2">
        <v>-1.5</v>
      </c>
      <c r="D5" s="2">
        <v>-1</v>
      </c>
      <c r="E5" s="2">
        <v>-0.5</v>
      </c>
      <c r="F5" s="2">
        <v>0</v>
      </c>
      <c r="G5" s="2">
        <v>0.5</v>
      </c>
      <c r="H5" s="2">
        <v>1</v>
      </c>
      <c r="I5" s="2">
        <v>1.5</v>
      </c>
      <c r="J5" s="2">
        <v>2</v>
      </c>
      <c r="K5" s="2">
        <v>2.5</v>
      </c>
      <c r="L5" s="2">
        <v>3</v>
      </c>
      <c r="M5" s="2">
        <v>3.5</v>
      </c>
    </row>
    <row r="6" spans="1:13" ht="15.75" x14ac:dyDescent="0.25">
      <c r="A6" s="1" t="s">
        <v>7</v>
      </c>
      <c r="B6" s="2">
        <f>ABS($F$2/$A$2+ABS(B5))</f>
        <v>2.7083333333333335</v>
      </c>
      <c r="C6" s="2">
        <f t="shared" ref="C6:M6" si="0">ABS($F$2/$A$2+ABS(C5))</f>
        <v>2.2083333333333335</v>
      </c>
      <c r="D6" s="2">
        <f t="shared" si="0"/>
        <v>1.7083333333333335</v>
      </c>
      <c r="E6" s="2">
        <f t="shared" si="0"/>
        <v>1.2083333333333335</v>
      </c>
      <c r="F6" s="2">
        <f t="shared" si="0"/>
        <v>0.70833333333333337</v>
      </c>
      <c r="G6" s="2">
        <f t="shared" si="0"/>
        <v>1.2083333333333335</v>
      </c>
      <c r="H6" s="2">
        <f t="shared" si="0"/>
        <v>1.7083333333333335</v>
      </c>
      <c r="I6" s="2">
        <f t="shared" si="0"/>
        <v>2.2083333333333335</v>
      </c>
      <c r="J6" s="2">
        <f t="shared" si="0"/>
        <v>2.7083333333333335</v>
      </c>
      <c r="K6" s="2">
        <f t="shared" si="0"/>
        <v>3.2083333333333335</v>
      </c>
      <c r="L6" s="2">
        <f t="shared" si="0"/>
        <v>3.7083333333333335</v>
      </c>
      <c r="M6" s="2">
        <f t="shared" si="0"/>
        <v>4.208333333333333</v>
      </c>
    </row>
    <row r="24" spans="1:29" x14ac:dyDescent="0.25">
      <c r="A24" s="4" t="s">
        <v>8</v>
      </c>
      <c r="B24" s="5">
        <v>-20</v>
      </c>
      <c r="C24" s="5">
        <v>-18.5</v>
      </c>
      <c r="D24" s="5">
        <v>-17</v>
      </c>
      <c r="E24" s="5">
        <v>-15.5</v>
      </c>
      <c r="F24" s="5">
        <v>-14</v>
      </c>
      <c r="G24" s="5">
        <v>-12.5</v>
      </c>
      <c r="H24" s="5">
        <v>-11</v>
      </c>
      <c r="I24" s="5">
        <v>-9.5</v>
      </c>
      <c r="J24" s="5">
        <v>-8</v>
      </c>
      <c r="K24" s="5">
        <v>-6.5</v>
      </c>
      <c r="L24" s="5">
        <v>-5</v>
      </c>
      <c r="M24" s="5">
        <v>-3.5</v>
      </c>
      <c r="N24" s="5">
        <v>-2</v>
      </c>
      <c r="O24" s="5">
        <v>-0.5</v>
      </c>
      <c r="P24" s="5">
        <v>1</v>
      </c>
      <c r="Q24" s="5">
        <v>2.5</v>
      </c>
      <c r="R24" s="5">
        <v>4</v>
      </c>
      <c r="S24" s="5">
        <v>5.5</v>
      </c>
      <c r="T24" s="5">
        <v>7</v>
      </c>
      <c r="U24" s="5">
        <v>8.5</v>
      </c>
      <c r="V24" s="5">
        <v>10</v>
      </c>
      <c r="W24" s="5">
        <v>11.5</v>
      </c>
      <c r="X24" s="5">
        <v>13</v>
      </c>
      <c r="Y24" s="5">
        <v>14.5</v>
      </c>
      <c r="Z24" s="5">
        <v>16</v>
      </c>
      <c r="AA24" s="5">
        <v>17.5</v>
      </c>
      <c r="AB24" s="5">
        <v>19</v>
      </c>
      <c r="AC24" s="5">
        <v>20.5</v>
      </c>
    </row>
    <row r="25" spans="1:29" x14ac:dyDescent="0.25">
      <c r="A25" s="4" t="s">
        <v>7</v>
      </c>
      <c r="B25" s="5">
        <f>$A$2*B24^2+$B$2*B24+MOD($C$2,1)</f>
        <v>9580</v>
      </c>
      <c r="C25" s="5">
        <f t="shared" ref="C25:AC25" si="1">$A$2*C24^2+$B$2*C24+MOD($C$2,1)</f>
        <v>8195.5</v>
      </c>
      <c r="D25" s="5">
        <f t="shared" si="1"/>
        <v>6919</v>
      </c>
      <c r="E25" s="5">
        <f t="shared" si="1"/>
        <v>5750.5</v>
      </c>
      <c r="F25" s="5">
        <f t="shared" si="1"/>
        <v>4690</v>
      </c>
      <c r="G25" s="5">
        <f t="shared" si="1"/>
        <v>3737.5</v>
      </c>
      <c r="H25" s="5">
        <f t="shared" si="1"/>
        <v>2893</v>
      </c>
      <c r="I25" s="5">
        <f t="shared" si="1"/>
        <v>2156.5</v>
      </c>
      <c r="J25" s="5">
        <f t="shared" si="1"/>
        <v>1528</v>
      </c>
      <c r="K25" s="5">
        <f t="shared" si="1"/>
        <v>1007.5</v>
      </c>
      <c r="L25" s="5">
        <f t="shared" si="1"/>
        <v>595</v>
      </c>
      <c r="M25" s="5">
        <f t="shared" si="1"/>
        <v>290.5</v>
      </c>
      <c r="N25" s="5">
        <f t="shared" si="1"/>
        <v>94</v>
      </c>
      <c r="O25" s="5">
        <f t="shared" si="1"/>
        <v>5.5</v>
      </c>
      <c r="P25" s="5">
        <f t="shared" si="1"/>
        <v>25</v>
      </c>
      <c r="Q25" s="5">
        <f t="shared" si="1"/>
        <v>152.5</v>
      </c>
      <c r="R25" s="5">
        <f t="shared" si="1"/>
        <v>388</v>
      </c>
      <c r="S25" s="5">
        <f t="shared" si="1"/>
        <v>731.5</v>
      </c>
      <c r="T25" s="5">
        <f t="shared" si="1"/>
        <v>1183</v>
      </c>
      <c r="U25" s="5">
        <f t="shared" si="1"/>
        <v>1742.5</v>
      </c>
      <c r="V25" s="5">
        <f t="shared" si="1"/>
        <v>2410</v>
      </c>
      <c r="W25" s="5">
        <f t="shared" si="1"/>
        <v>3185.5</v>
      </c>
      <c r="X25" s="5">
        <f t="shared" si="1"/>
        <v>4069</v>
      </c>
      <c r="Y25" s="5">
        <f t="shared" si="1"/>
        <v>5060.5</v>
      </c>
      <c r="Z25" s="5">
        <f t="shared" si="1"/>
        <v>6160</v>
      </c>
      <c r="AA25" s="5">
        <f t="shared" si="1"/>
        <v>7367.5</v>
      </c>
      <c r="AB25" s="5">
        <f t="shared" si="1"/>
        <v>8683</v>
      </c>
      <c r="AC25" s="5">
        <f t="shared" si="1"/>
        <v>10106.5</v>
      </c>
    </row>
    <row r="47" spans="1:29" ht="15.75" x14ac:dyDescent="0.25">
      <c r="A47" s="8" t="s">
        <v>8</v>
      </c>
      <c r="B47" s="7">
        <v>-20</v>
      </c>
      <c r="C47" s="7">
        <v>-18.5</v>
      </c>
      <c r="D47" s="7">
        <v>-17</v>
      </c>
      <c r="E47" s="7">
        <v>-15.5</v>
      </c>
      <c r="F47" s="7">
        <v>-14</v>
      </c>
      <c r="G47" s="7">
        <v>-12.5</v>
      </c>
      <c r="H47" s="7">
        <v>-11</v>
      </c>
      <c r="I47" s="7">
        <v>-9.5</v>
      </c>
      <c r="J47" s="7">
        <v>-8</v>
      </c>
      <c r="K47" s="7">
        <v>-6.5</v>
      </c>
      <c r="L47" s="7">
        <v>-5</v>
      </c>
      <c r="M47" s="7">
        <v>-3.5</v>
      </c>
      <c r="N47" s="7">
        <v>-2</v>
      </c>
      <c r="O47" s="7">
        <v>-0.5</v>
      </c>
      <c r="P47" s="7">
        <v>1</v>
      </c>
      <c r="Q47" s="7">
        <v>2.5</v>
      </c>
      <c r="R47" s="7">
        <v>4</v>
      </c>
      <c r="S47" s="7">
        <v>5.5</v>
      </c>
      <c r="T47" s="7">
        <v>7</v>
      </c>
      <c r="U47" s="7">
        <v>8.5</v>
      </c>
      <c r="V47" s="7">
        <v>10</v>
      </c>
      <c r="W47" s="7">
        <v>11.5</v>
      </c>
      <c r="X47" s="7">
        <v>13</v>
      </c>
      <c r="Y47" s="7">
        <v>14.5</v>
      </c>
      <c r="Z47" s="7">
        <v>16</v>
      </c>
      <c r="AA47" s="7">
        <v>17.5</v>
      </c>
      <c r="AB47" s="7">
        <v>19</v>
      </c>
      <c r="AC47" s="7">
        <v>20.5</v>
      </c>
    </row>
    <row r="48" spans="1:29" ht="15.75" x14ac:dyDescent="0.25">
      <c r="A48" s="8" t="s">
        <v>7</v>
      </c>
      <c r="B48" s="7">
        <f>ABS((-5)*B47^2+AVERAGE($A$2,$B$2,$F$2)*B47+AVERAGE($G$2,$D$2,$E$2))</f>
        <v>2140</v>
      </c>
      <c r="C48" s="7">
        <f t="shared" ref="C48:AC48" si="2">ABS((-5)*C47^2+AVERAGE($A$2,$B$2,$F$2)*C47+AVERAGE($G$2,$D$2,$E$2))</f>
        <v>1830.25</v>
      </c>
      <c r="D48" s="7">
        <f t="shared" si="2"/>
        <v>1543</v>
      </c>
      <c r="E48" s="7">
        <f t="shared" si="2"/>
        <v>1278.25</v>
      </c>
      <c r="F48" s="7">
        <f t="shared" si="2"/>
        <v>1036</v>
      </c>
      <c r="G48" s="7">
        <f t="shared" si="2"/>
        <v>816.25</v>
      </c>
      <c r="H48" s="7">
        <f t="shared" si="2"/>
        <v>619</v>
      </c>
      <c r="I48" s="7">
        <f t="shared" si="2"/>
        <v>444.25</v>
      </c>
      <c r="J48" s="7">
        <f t="shared" si="2"/>
        <v>292</v>
      </c>
      <c r="K48" s="7">
        <f t="shared" si="2"/>
        <v>162.25</v>
      </c>
      <c r="L48" s="7">
        <f t="shared" si="2"/>
        <v>55</v>
      </c>
      <c r="M48" s="7">
        <f t="shared" si="2"/>
        <v>29.75</v>
      </c>
      <c r="N48" s="7">
        <f t="shared" si="2"/>
        <v>92</v>
      </c>
      <c r="O48" s="7">
        <f t="shared" si="2"/>
        <v>131.75</v>
      </c>
      <c r="P48" s="7">
        <f t="shared" si="2"/>
        <v>149</v>
      </c>
      <c r="Q48" s="7">
        <f t="shared" si="2"/>
        <v>143.75</v>
      </c>
      <c r="R48" s="7">
        <f t="shared" si="2"/>
        <v>116</v>
      </c>
      <c r="S48" s="7">
        <f t="shared" si="2"/>
        <v>65.75</v>
      </c>
      <c r="T48" s="7">
        <f t="shared" si="2"/>
        <v>7</v>
      </c>
      <c r="U48" s="7">
        <f t="shared" si="2"/>
        <v>102.25</v>
      </c>
      <c r="V48" s="7">
        <f t="shared" si="2"/>
        <v>220</v>
      </c>
      <c r="W48" s="7">
        <f t="shared" si="2"/>
        <v>360.25</v>
      </c>
      <c r="X48" s="7">
        <f t="shared" si="2"/>
        <v>523</v>
      </c>
      <c r="Y48" s="7">
        <f t="shared" si="2"/>
        <v>708.25</v>
      </c>
      <c r="Z48" s="7">
        <f t="shared" si="2"/>
        <v>916</v>
      </c>
      <c r="AA48" s="7">
        <f t="shared" si="2"/>
        <v>1146.25</v>
      </c>
      <c r="AB48" s="7">
        <f t="shared" si="2"/>
        <v>1399</v>
      </c>
      <c r="AC48" s="7">
        <f t="shared" si="2"/>
        <v>1674.25</v>
      </c>
    </row>
    <row r="67" spans="1:14" x14ac:dyDescent="0.25">
      <c r="A67" s="4" t="s">
        <v>6</v>
      </c>
      <c r="B67" s="5">
        <v>-5</v>
      </c>
      <c r="C67" s="5">
        <v>-4</v>
      </c>
      <c r="D67" s="5">
        <v>-3</v>
      </c>
      <c r="E67" s="5">
        <v>-2</v>
      </c>
      <c r="F67" s="5">
        <v>-1</v>
      </c>
      <c r="G67" s="5">
        <v>0</v>
      </c>
      <c r="H67" s="5">
        <v>1</v>
      </c>
      <c r="I67" s="5">
        <v>2</v>
      </c>
      <c r="J67" s="5">
        <v>3</v>
      </c>
      <c r="K67" s="5">
        <v>4</v>
      </c>
      <c r="L67" s="5">
        <v>5</v>
      </c>
      <c r="M67" s="5">
        <v>6</v>
      </c>
      <c r="N67" s="5">
        <v>7</v>
      </c>
    </row>
    <row r="68" spans="1:14" x14ac:dyDescent="0.25">
      <c r="A68" s="4" t="s">
        <v>7</v>
      </c>
      <c r="B68" s="5">
        <f>LOG(GCD($A$2,$D$2)+$F$2,ABS($D$2-$A$2)+3)</f>
        <v>0.9350799290239028</v>
      </c>
      <c r="C68" s="5">
        <f t="shared" ref="C68:N68" si="3">LOG(GCD($A$2,$D$2)+$F$2,ABS($D$2-$A$2)+3)</f>
        <v>0.9350799290239028</v>
      </c>
      <c r="D68" s="5">
        <f t="shared" si="3"/>
        <v>0.9350799290239028</v>
      </c>
      <c r="E68" s="5">
        <f t="shared" si="3"/>
        <v>0.9350799290239028</v>
      </c>
      <c r="F68" s="5">
        <f t="shared" si="3"/>
        <v>0.9350799290239028</v>
      </c>
      <c r="G68" s="5">
        <f t="shared" si="3"/>
        <v>0.9350799290239028</v>
      </c>
      <c r="H68" s="5">
        <f t="shared" si="3"/>
        <v>0.9350799290239028</v>
      </c>
      <c r="I68" s="5">
        <f t="shared" si="3"/>
        <v>0.9350799290239028</v>
      </c>
      <c r="J68" s="5">
        <f t="shared" si="3"/>
        <v>0.9350799290239028</v>
      </c>
      <c r="K68" s="5">
        <f t="shared" si="3"/>
        <v>0.9350799290239028</v>
      </c>
      <c r="L68" s="5">
        <f t="shared" si="3"/>
        <v>0.9350799290239028</v>
      </c>
      <c r="M68" s="5">
        <f t="shared" si="3"/>
        <v>0.9350799290239028</v>
      </c>
      <c r="N68" s="5">
        <f t="shared" si="3"/>
        <v>0.9350799290239028</v>
      </c>
    </row>
  </sheetData>
  <pageMargins left="0.7" right="0.7" top="0.75" bottom="0.75" header="0.3" footer="0.3"/>
  <pageSetup paperSize="9" orientation="portrait" r:id="rId1"/>
  <headerFooter>
    <oddHeader>&amp;LАннануров Даниил Петрович ИВТ 1.2 24.01.2004 Вариант 17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workbookViewId="0">
      <selection activeCell="R17" sqref="R17"/>
    </sheetView>
  </sheetViews>
  <sheetFormatPr defaultRowHeight="15" x14ac:dyDescent="0.25"/>
  <sheetData>
    <row r="1" spans="1:15" ht="15.75" x14ac:dyDescent="0.25">
      <c r="A1" s="9"/>
      <c r="B1" s="1">
        <v>-7.5</v>
      </c>
      <c r="C1" s="1">
        <v>-6</v>
      </c>
      <c r="D1" s="1">
        <v>-4.5</v>
      </c>
      <c r="E1" s="1">
        <v>-3</v>
      </c>
      <c r="F1" s="1">
        <v>-1.5</v>
      </c>
      <c r="G1" s="1">
        <v>0</v>
      </c>
      <c r="H1" s="1">
        <v>1.5</v>
      </c>
      <c r="I1" s="1">
        <v>3</v>
      </c>
      <c r="J1" s="1">
        <v>4.5</v>
      </c>
      <c r="K1" s="1">
        <v>6</v>
      </c>
      <c r="L1" s="1">
        <v>7.5</v>
      </c>
      <c r="M1" s="1">
        <v>9</v>
      </c>
      <c r="N1" s="1">
        <v>10.5</v>
      </c>
      <c r="O1" s="1">
        <v>12</v>
      </c>
    </row>
    <row r="2" spans="1:15" ht="15.75" x14ac:dyDescent="0.25">
      <c r="A2" s="1">
        <v>-4</v>
      </c>
      <c r="B2" s="9">
        <f>$A2^2+B$1^2</f>
        <v>72.25</v>
      </c>
      <c r="C2" s="9">
        <f t="shared" ref="C2:O17" si="0">$A2^2+C$1^2</f>
        <v>52</v>
      </c>
      <c r="D2" s="9">
        <f t="shared" si="0"/>
        <v>36.25</v>
      </c>
      <c r="E2" s="9">
        <f t="shared" si="0"/>
        <v>25</v>
      </c>
      <c r="F2" s="9">
        <f t="shared" si="0"/>
        <v>18.25</v>
      </c>
      <c r="G2" s="9">
        <f t="shared" si="0"/>
        <v>16</v>
      </c>
      <c r="H2" s="9">
        <f t="shared" si="0"/>
        <v>18.25</v>
      </c>
      <c r="I2" s="9">
        <f t="shared" si="0"/>
        <v>25</v>
      </c>
      <c r="J2" s="9">
        <f t="shared" si="0"/>
        <v>36.25</v>
      </c>
      <c r="K2" s="9">
        <f t="shared" si="0"/>
        <v>52</v>
      </c>
      <c r="L2" s="9">
        <f t="shared" si="0"/>
        <v>72.25</v>
      </c>
      <c r="M2" s="9">
        <f t="shared" si="0"/>
        <v>97</v>
      </c>
      <c r="N2" s="9">
        <f t="shared" si="0"/>
        <v>126.25</v>
      </c>
      <c r="O2" s="9">
        <f t="shared" si="0"/>
        <v>160</v>
      </c>
    </row>
    <row r="3" spans="1:15" ht="15.75" x14ac:dyDescent="0.25">
      <c r="A3" s="1">
        <v>-3.5</v>
      </c>
      <c r="B3" s="9">
        <f t="shared" ref="B3:O21" si="1">$A3^2+B$1^2</f>
        <v>68.5</v>
      </c>
      <c r="C3" s="9">
        <f t="shared" si="0"/>
        <v>48.25</v>
      </c>
      <c r="D3" s="9">
        <f t="shared" si="0"/>
        <v>32.5</v>
      </c>
      <c r="E3" s="9">
        <f t="shared" si="0"/>
        <v>21.25</v>
      </c>
      <c r="F3" s="9">
        <f t="shared" si="0"/>
        <v>14.5</v>
      </c>
      <c r="G3" s="9">
        <f t="shared" si="0"/>
        <v>12.25</v>
      </c>
      <c r="H3" s="9">
        <f t="shared" si="0"/>
        <v>14.5</v>
      </c>
      <c r="I3" s="9">
        <f t="shared" si="0"/>
        <v>21.25</v>
      </c>
      <c r="J3" s="9">
        <f t="shared" si="0"/>
        <v>32.5</v>
      </c>
      <c r="K3" s="9">
        <f t="shared" si="0"/>
        <v>48.25</v>
      </c>
      <c r="L3" s="9">
        <f t="shared" si="0"/>
        <v>68.5</v>
      </c>
      <c r="M3" s="9">
        <f t="shared" si="0"/>
        <v>93.25</v>
      </c>
      <c r="N3" s="9">
        <f t="shared" si="0"/>
        <v>122.5</v>
      </c>
      <c r="O3" s="9">
        <f t="shared" si="0"/>
        <v>156.25</v>
      </c>
    </row>
    <row r="4" spans="1:15" ht="15.75" x14ac:dyDescent="0.25">
      <c r="A4" s="1">
        <v>-3</v>
      </c>
      <c r="B4" s="9">
        <f t="shared" si="1"/>
        <v>65.25</v>
      </c>
      <c r="C4" s="9">
        <f t="shared" si="0"/>
        <v>45</v>
      </c>
      <c r="D4" s="9">
        <f t="shared" si="0"/>
        <v>29.25</v>
      </c>
      <c r="E4" s="9">
        <f t="shared" si="0"/>
        <v>18</v>
      </c>
      <c r="F4" s="9">
        <f t="shared" si="0"/>
        <v>11.25</v>
      </c>
      <c r="G4" s="9">
        <f t="shared" si="0"/>
        <v>9</v>
      </c>
      <c r="H4" s="9">
        <f t="shared" si="0"/>
        <v>11.25</v>
      </c>
      <c r="I4" s="9">
        <f t="shared" si="0"/>
        <v>18</v>
      </c>
      <c r="J4" s="9">
        <f t="shared" si="0"/>
        <v>29.25</v>
      </c>
      <c r="K4" s="9">
        <f t="shared" si="0"/>
        <v>45</v>
      </c>
      <c r="L4" s="9">
        <f t="shared" si="0"/>
        <v>65.25</v>
      </c>
      <c r="M4" s="9">
        <f t="shared" si="0"/>
        <v>90</v>
      </c>
      <c r="N4" s="9">
        <f t="shared" si="0"/>
        <v>119.25</v>
      </c>
      <c r="O4" s="9">
        <f t="shared" si="0"/>
        <v>153</v>
      </c>
    </row>
    <row r="5" spans="1:15" ht="15.75" x14ac:dyDescent="0.25">
      <c r="A5" s="1">
        <v>-2.5</v>
      </c>
      <c r="B5" s="9">
        <f t="shared" si="1"/>
        <v>62.5</v>
      </c>
      <c r="C5" s="9">
        <f t="shared" si="0"/>
        <v>42.25</v>
      </c>
      <c r="D5" s="9">
        <f t="shared" si="0"/>
        <v>26.5</v>
      </c>
      <c r="E5" s="9">
        <f t="shared" si="0"/>
        <v>15.25</v>
      </c>
      <c r="F5" s="9">
        <f t="shared" si="0"/>
        <v>8.5</v>
      </c>
      <c r="G5" s="9">
        <f t="shared" si="0"/>
        <v>6.25</v>
      </c>
      <c r="H5" s="9">
        <f t="shared" si="0"/>
        <v>8.5</v>
      </c>
      <c r="I5" s="9">
        <f t="shared" si="0"/>
        <v>15.25</v>
      </c>
      <c r="J5" s="9">
        <f t="shared" si="0"/>
        <v>26.5</v>
      </c>
      <c r="K5" s="9">
        <f t="shared" si="0"/>
        <v>42.25</v>
      </c>
      <c r="L5" s="9">
        <f t="shared" si="0"/>
        <v>62.5</v>
      </c>
      <c r="M5" s="9">
        <f t="shared" si="0"/>
        <v>87.25</v>
      </c>
      <c r="N5" s="9">
        <f t="shared" si="0"/>
        <v>116.5</v>
      </c>
      <c r="O5" s="9">
        <f t="shared" si="0"/>
        <v>150.25</v>
      </c>
    </row>
    <row r="6" spans="1:15" ht="15.75" x14ac:dyDescent="0.25">
      <c r="A6" s="1">
        <v>-2</v>
      </c>
      <c r="B6" s="9">
        <f t="shared" si="1"/>
        <v>60.25</v>
      </c>
      <c r="C6" s="9">
        <f t="shared" si="0"/>
        <v>40</v>
      </c>
      <c r="D6" s="9">
        <f t="shared" si="0"/>
        <v>24.25</v>
      </c>
      <c r="E6" s="9">
        <f t="shared" si="0"/>
        <v>13</v>
      </c>
      <c r="F6" s="9">
        <f t="shared" si="0"/>
        <v>6.25</v>
      </c>
      <c r="G6" s="9">
        <f t="shared" si="0"/>
        <v>4</v>
      </c>
      <c r="H6" s="9">
        <f t="shared" si="0"/>
        <v>6.25</v>
      </c>
      <c r="I6" s="9">
        <f t="shared" si="0"/>
        <v>13</v>
      </c>
      <c r="J6" s="9">
        <f t="shared" si="0"/>
        <v>24.25</v>
      </c>
      <c r="K6" s="9">
        <f t="shared" si="0"/>
        <v>40</v>
      </c>
      <c r="L6" s="9">
        <f t="shared" si="0"/>
        <v>60.25</v>
      </c>
      <c r="M6" s="9">
        <f t="shared" si="0"/>
        <v>85</v>
      </c>
      <c r="N6" s="9">
        <f t="shared" si="0"/>
        <v>114.25</v>
      </c>
      <c r="O6" s="9">
        <f t="shared" si="0"/>
        <v>148</v>
      </c>
    </row>
    <row r="7" spans="1:15" ht="15.75" x14ac:dyDescent="0.25">
      <c r="A7" s="1">
        <v>-1.5</v>
      </c>
      <c r="B7" s="9">
        <f t="shared" si="1"/>
        <v>58.5</v>
      </c>
      <c r="C7" s="9">
        <f t="shared" si="0"/>
        <v>38.25</v>
      </c>
      <c r="D7" s="9">
        <f t="shared" si="0"/>
        <v>22.5</v>
      </c>
      <c r="E7" s="9">
        <f t="shared" si="0"/>
        <v>11.25</v>
      </c>
      <c r="F7" s="9">
        <f t="shared" si="0"/>
        <v>4.5</v>
      </c>
      <c r="G7" s="9">
        <f t="shared" si="0"/>
        <v>2.25</v>
      </c>
      <c r="H7" s="9">
        <f t="shared" si="0"/>
        <v>4.5</v>
      </c>
      <c r="I7" s="9">
        <f t="shared" si="0"/>
        <v>11.25</v>
      </c>
      <c r="J7" s="9">
        <f t="shared" si="0"/>
        <v>22.5</v>
      </c>
      <c r="K7" s="9">
        <f t="shared" si="0"/>
        <v>38.25</v>
      </c>
      <c r="L7" s="9">
        <f t="shared" si="0"/>
        <v>58.5</v>
      </c>
      <c r="M7" s="9">
        <f t="shared" si="0"/>
        <v>83.25</v>
      </c>
      <c r="N7" s="9">
        <f t="shared" si="0"/>
        <v>112.5</v>
      </c>
      <c r="O7" s="9">
        <f t="shared" si="0"/>
        <v>146.25</v>
      </c>
    </row>
    <row r="8" spans="1:15" ht="15.75" x14ac:dyDescent="0.25">
      <c r="A8" s="1">
        <v>-1</v>
      </c>
      <c r="B8" s="9">
        <f t="shared" si="1"/>
        <v>57.25</v>
      </c>
      <c r="C8" s="9">
        <f t="shared" si="0"/>
        <v>37</v>
      </c>
      <c r="D8" s="9">
        <f t="shared" si="0"/>
        <v>21.25</v>
      </c>
      <c r="E8" s="9">
        <f t="shared" si="0"/>
        <v>10</v>
      </c>
      <c r="F8" s="9">
        <f t="shared" si="0"/>
        <v>3.25</v>
      </c>
      <c r="G8" s="9">
        <f t="shared" si="0"/>
        <v>1</v>
      </c>
      <c r="H8" s="9">
        <f t="shared" si="0"/>
        <v>3.25</v>
      </c>
      <c r="I8" s="9">
        <f t="shared" si="0"/>
        <v>10</v>
      </c>
      <c r="J8" s="9">
        <f t="shared" si="0"/>
        <v>21.25</v>
      </c>
      <c r="K8" s="9">
        <f t="shared" si="0"/>
        <v>37</v>
      </c>
      <c r="L8" s="9">
        <f t="shared" si="0"/>
        <v>57.25</v>
      </c>
      <c r="M8" s="9">
        <f t="shared" si="0"/>
        <v>82</v>
      </c>
      <c r="N8" s="9">
        <f t="shared" si="0"/>
        <v>111.25</v>
      </c>
      <c r="O8" s="9">
        <f t="shared" si="0"/>
        <v>145</v>
      </c>
    </row>
    <row r="9" spans="1:15" ht="15.75" x14ac:dyDescent="0.25">
      <c r="A9" s="1">
        <v>-0.5</v>
      </c>
      <c r="B9" s="9">
        <f t="shared" si="1"/>
        <v>56.5</v>
      </c>
      <c r="C9" s="9">
        <f t="shared" si="0"/>
        <v>36.25</v>
      </c>
      <c r="D9" s="9">
        <f t="shared" si="0"/>
        <v>20.5</v>
      </c>
      <c r="E9" s="9">
        <f t="shared" si="0"/>
        <v>9.25</v>
      </c>
      <c r="F9" s="9">
        <f t="shared" si="0"/>
        <v>2.5</v>
      </c>
      <c r="G9" s="9">
        <f t="shared" si="0"/>
        <v>0.25</v>
      </c>
      <c r="H9" s="9">
        <f t="shared" si="0"/>
        <v>2.5</v>
      </c>
      <c r="I9" s="9">
        <f t="shared" si="0"/>
        <v>9.25</v>
      </c>
      <c r="J9" s="9">
        <f t="shared" si="0"/>
        <v>20.5</v>
      </c>
      <c r="K9" s="9">
        <f t="shared" si="0"/>
        <v>36.25</v>
      </c>
      <c r="L9" s="9">
        <f t="shared" si="0"/>
        <v>56.5</v>
      </c>
      <c r="M9" s="9">
        <f t="shared" si="0"/>
        <v>81.25</v>
      </c>
      <c r="N9" s="9">
        <f t="shared" si="0"/>
        <v>110.5</v>
      </c>
      <c r="O9" s="9">
        <f t="shared" si="0"/>
        <v>144.25</v>
      </c>
    </row>
    <row r="10" spans="1:15" ht="15.75" x14ac:dyDescent="0.25">
      <c r="A10" s="1">
        <v>0</v>
      </c>
      <c r="B10" s="9">
        <f t="shared" si="1"/>
        <v>56.25</v>
      </c>
      <c r="C10" s="9">
        <f t="shared" si="0"/>
        <v>36</v>
      </c>
      <c r="D10" s="9">
        <f t="shared" si="0"/>
        <v>20.25</v>
      </c>
      <c r="E10" s="9">
        <f t="shared" si="0"/>
        <v>9</v>
      </c>
      <c r="F10" s="9">
        <f t="shared" si="0"/>
        <v>2.25</v>
      </c>
      <c r="G10" s="9">
        <f t="shared" si="0"/>
        <v>0</v>
      </c>
      <c r="H10" s="9">
        <f t="shared" si="0"/>
        <v>2.25</v>
      </c>
      <c r="I10" s="9">
        <f t="shared" si="0"/>
        <v>9</v>
      </c>
      <c r="J10" s="9">
        <f t="shared" si="0"/>
        <v>20.25</v>
      </c>
      <c r="K10" s="9">
        <f t="shared" si="0"/>
        <v>36</v>
      </c>
      <c r="L10" s="9">
        <f t="shared" si="0"/>
        <v>56.25</v>
      </c>
      <c r="M10" s="9">
        <f t="shared" si="0"/>
        <v>81</v>
      </c>
      <c r="N10" s="9">
        <f t="shared" si="0"/>
        <v>110.25</v>
      </c>
      <c r="O10" s="9">
        <f t="shared" si="0"/>
        <v>144</v>
      </c>
    </row>
    <row r="11" spans="1:15" ht="15.75" x14ac:dyDescent="0.25">
      <c r="A11" s="1">
        <v>0.5</v>
      </c>
      <c r="B11" s="9">
        <f t="shared" si="1"/>
        <v>56.5</v>
      </c>
      <c r="C11" s="9">
        <f t="shared" si="0"/>
        <v>36.25</v>
      </c>
      <c r="D11" s="9">
        <f t="shared" si="0"/>
        <v>20.5</v>
      </c>
      <c r="E11" s="9">
        <f t="shared" si="0"/>
        <v>9.25</v>
      </c>
      <c r="F11" s="9">
        <f t="shared" si="0"/>
        <v>2.5</v>
      </c>
      <c r="G11" s="9">
        <f t="shared" si="0"/>
        <v>0.25</v>
      </c>
      <c r="H11" s="9">
        <f t="shared" si="0"/>
        <v>2.5</v>
      </c>
      <c r="I11" s="9">
        <f t="shared" si="0"/>
        <v>9.25</v>
      </c>
      <c r="J11" s="9">
        <f t="shared" si="0"/>
        <v>20.5</v>
      </c>
      <c r="K11" s="9">
        <f t="shared" si="0"/>
        <v>36.25</v>
      </c>
      <c r="L11" s="9">
        <f t="shared" si="0"/>
        <v>56.5</v>
      </c>
      <c r="M11" s="9">
        <f t="shared" si="0"/>
        <v>81.25</v>
      </c>
      <c r="N11" s="9">
        <f t="shared" si="0"/>
        <v>110.5</v>
      </c>
      <c r="O11" s="9">
        <f t="shared" si="0"/>
        <v>144.25</v>
      </c>
    </row>
    <row r="12" spans="1:15" ht="15.75" x14ac:dyDescent="0.25">
      <c r="A12" s="1">
        <v>1</v>
      </c>
      <c r="B12" s="9">
        <f t="shared" si="1"/>
        <v>57.25</v>
      </c>
      <c r="C12" s="9">
        <f t="shared" si="0"/>
        <v>37</v>
      </c>
      <c r="D12" s="9">
        <f t="shared" si="0"/>
        <v>21.25</v>
      </c>
      <c r="E12" s="9">
        <f t="shared" si="0"/>
        <v>10</v>
      </c>
      <c r="F12" s="9">
        <f t="shared" si="0"/>
        <v>3.25</v>
      </c>
      <c r="G12" s="9">
        <f t="shared" si="0"/>
        <v>1</v>
      </c>
      <c r="H12" s="9">
        <f t="shared" si="0"/>
        <v>3.25</v>
      </c>
      <c r="I12" s="9">
        <f t="shared" si="0"/>
        <v>10</v>
      </c>
      <c r="J12" s="9">
        <f t="shared" si="0"/>
        <v>21.25</v>
      </c>
      <c r="K12" s="9">
        <f t="shared" si="0"/>
        <v>37</v>
      </c>
      <c r="L12" s="9">
        <f t="shared" si="0"/>
        <v>57.25</v>
      </c>
      <c r="M12" s="9">
        <f t="shared" si="0"/>
        <v>82</v>
      </c>
      <c r="N12" s="9">
        <f t="shared" si="0"/>
        <v>111.25</v>
      </c>
      <c r="O12" s="9">
        <f t="shared" si="0"/>
        <v>145</v>
      </c>
    </row>
    <row r="13" spans="1:15" ht="15.75" x14ac:dyDescent="0.25">
      <c r="A13" s="1">
        <v>1.5</v>
      </c>
      <c r="B13" s="9">
        <f t="shared" si="1"/>
        <v>58.5</v>
      </c>
      <c r="C13" s="9">
        <f t="shared" si="0"/>
        <v>38.25</v>
      </c>
      <c r="D13" s="9">
        <f t="shared" si="0"/>
        <v>22.5</v>
      </c>
      <c r="E13" s="9">
        <f t="shared" si="0"/>
        <v>11.25</v>
      </c>
      <c r="F13" s="9">
        <f t="shared" si="0"/>
        <v>4.5</v>
      </c>
      <c r="G13" s="9">
        <f t="shared" si="0"/>
        <v>2.25</v>
      </c>
      <c r="H13" s="9">
        <f t="shared" si="0"/>
        <v>4.5</v>
      </c>
      <c r="I13" s="9">
        <f t="shared" si="0"/>
        <v>11.25</v>
      </c>
      <c r="J13" s="9">
        <f t="shared" si="0"/>
        <v>22.5</v>
      </c>
      <c r="K13" s="9">
        <f t="shared" si="0"/>
        <v>38.25</v>
      </c>
      <c r="L13" s="9">
        <f t="shared" si="0"/>
        <v>58.5</v>
      </c>
      <c r="M13" s="9">
        <f t="shared" si="0"/>
        <v>83.25</v>
      </c>
      <c r="N13" s="9">
        <f t="shared" si="0"/>
        <v>112.5</v>
      </c>
      <c r="O13" s="9">
        <f t="shared" si="0"/>
        <v>146.25</v>
      </c>
    </row>
    <row r="14" spans="1:15" ht="15.75" x14ac:dyDescent="0.25">
      <c r="A14" s="1">
        <v>2</v>
      </c>
      <c r="B14" s="9">
        <f t="shared" si="1"/>
        <v>60.25</v>
      </c>
      <c r="C14" s="9">
        <f t="shared" si="0"/>
        <v>40</v>
      </c>
      <c r="D14" s="9">
        <f t="shared" si="0"/>
        <v>24.25</v>
      </c>
      <c r="E14" s="9">
        <f t="shared" si="0"/>
        <v>13</v>
      </c>
      <c r="F14" s="9">
        <f t="shared" si="0"/>
        <v>6.25</v>
      </c>
      <c r="G14" s="9">
        <f t="shared" si="0"/>
        <v>4</v>
      </c>
      <c r="H14" s="9">
        <f t="shared" si="0"/>
        <v>6.25</v>
      </c>
      <c r="I14" s="9">
        <f t="shared" si="0"/>
        <v>13</v>
      </c>
      <c r="J14" s="9">
        <f t="shared" si="0"/>
        <v>24.25</v>
      </c>
      <c r="K14" s="9">
        <f t="shared" si="0"/>
        <v>40</v>
      </c>
      <c r="L14" s="9">
        <f t="shared" si="0"/>
        <v>60.25</v>
      </c>
      <c r="M14" s="9">
        <f t="shared" si="0"/>
        <v>85</v>
      </c>
      <c r="N14" s="9">
        <f t="shared" si="0"/>
        <v>114.25</v>
      </c>
      <c r="O14" s="9">
        <f t="shared" si="0"/>
        <v>148</v>
      </c>
    </row>
    <row r="15" spans="1:15" ht="15.75" x14ac:dyDescent="0.25">
      <c r="A15" s="1">
        <v>2.5</v>
      </c>
      <c r="B15" s="9">
        <f t="shared" si="1"/>
        <v>62.5</v>
      </c>
      <c r="C15" s="9">
        <f t="shared" si="0"/>
        <v>42.25</v>
      </c>
      <c r="D15" s="9">
        <f t="shared" si="0"/>
        <v>26.5</v>
      </c>
      <c r="E15" s="9">
        <f t="shared" si="0"/>
        <v>15.25</v>
      </c>
      <c r="F15" s="9">
        <f t="shared" si="0"/>
        <v>8.5</v>
      </c>
      <c r="G15" s="9">
        <f t="shared" si="0"/>
        <v>6.25</v>
      </c>
      <c r="H15" s="9">
        <f t="shared" si="0"/>
        <v>8.5</v>
      </c>
      <c r="I15" s="9">
        <f t="shared" si="0"/>
        <v>15.25</v>
      </c>
      <c r="J15" s="9">
        <f t="shared" si="0"/>
        <v>26.5</v>
      </c>
      <c r="K15" s="9">
        <f t="shared" si="0"/>
        <v>42.25</v>
      </c>
      <c r="L15" s="9">
        <f t="shared" si="0"/>
        <v>62.5</v>
      </c>
      <c r="M15" s="9">
        <f t="shared" si="0"/>
        <v>87.25</v>
      </c>
      <c r="N15" s="9">
        <f t="shared" si="0"/>
        <v>116.5</v>
      </c>
      <c r="O15" s="9">
        <f t="shared" si="0"/>
        <v>150.25</v>
      </c>
    </row>
    <row r="16" spans="1:15" ht="15.75" x14ac:dyDescent="0.25">
      <c r="A16" s="1">
        <v>3</v>
      </c>
      <c r="B16" s="9">
        <f t="shared" si="1"/>
        <v>65.25</v>
      </c>
      <c r="C16" s="9">
        <f t="shared" si="0"/>
        <v>45</v>
      </c>
      <c r="D16" s="9">
        <f t="shared" si="0"/>
        <v>29.25</v>
      </c>
      <c r="E16" s="9">
        <f t="shared" si="0"/>
        <v>18</v>
      </c>
      <c r="F16" s="9">
        <f t="shared" si="0"/>
        <v>11.25</v>
      </c>
      <c r="G16" s="9">
        <f t="shared" si="0"/>
        <v>9</v>
      </c>
      <c r="H16" s="9">
        <f t="shared" si="0"/>
        <v>11.25</v>
      </c>
      <c r="I16" s="9">
        <f t="shared" si="0"/>
        <v>18</v>
      </c>
      <c r="J16" s="9">
        <f t="shared" si="0"/>
        <v>29.25</v>
      </c>
      <c r="K16" s="9">
        <f t="shared" si="0"/>
        <v>45</v>
      </c>
      <c r="L16" s="9">
        <f t="shared" si="0"/>
        <v>65.25</v>
      </c>
      <c r="M16" s="9">
        <f t="shared" si="0"/>
        <v>90</v>
      </c>
      <c r="N16" s="9">
        <f t="shared" si="0"/>
        <v>119.25</v>
      </c>
      <c r="O16" s="9">
        <f t="shared" si="0"/>
        <v>153</v>
      </c>
    </row>
    <row r="17" spans="1:15" ht="15.75" x14ac:dyDescent="0.25">
      <c r="A17" s="1">
        <v>3.5</v>
      </c>
      <c r="B17" s="9">
        <f t="shared" si="1"/>
        <v>68.5</v>
      </c>
      <c r="C17" s="9">
        <f t="shared" si="0"/>
        <v>48.25</v>
      </c>
      <c r="D17" s="9">
        <f t="shared" si="0"/>
        <v>32.5</v>
      </c>
      <c r="E17" s="9">
        <f t="shared" si="0"/>
        <v>21.25</v>
      </c>
      <c r="F17" s="9">
        <f t="shared" si="0"/>
        <v>14.5</v>
      </c>
      <c r="G17" s="9">
        <f t="shared" si="0"/>
        <v>12.25</v>
      </c>
      <c r="H17" s="9">
        <f t="shared" si="0"/>
        <v>14.5</v>
      </c>
      <c r="I17" s="9">
        <f t="shared" si="0"/>
        <v>21.25</v>
      </c>
      <c r="J17" s="9">
        <f t="shared" si="0"/>
        <v>32.5</v>
      </c>
      <c r="K17" s="9">
        <f t="shared" si="0"/>
        <v>48.25</v>
      </c>
      <c r="L17" s="9">
        <f t="shared" si="0"/>
        <v>68.5</v>
      </c>
      <c r="M17" s="9">
        <f t="shared" si="0"/>
        <v>93.25</v>
      </c>
      <c r="N17" s="9">
        <f t="shared" si="0"/>
        <v>122.5</v>
      </c>
      <c r="O17" s="9">
        <f t="shared" si="0"/>
        <v>156.25</v>
      </c>
    </row>
    <row r="18" spans="1:15" ht="15.75" x14ac:dyDescent="0.25">
      <c r="A18" s="1">
        <v>4</v>
      </c>
      <c r="B18" s="9">
        <f t="shared" si="1"/>
        <v>72.25</v>
      </c>
      <c r="C18" s="9">
        <f t="shared" si="1"/>
        <v>52</v>
      </c>
      <c r="D18" s="9">
        <f t="shared" si="1"/>
        <v>36.25</v>
      </c>
      <c r="E18" s="9">
        <f t="shared" si="1"/>
        <v>25</v>
      </c>
      <c r="F18" s="9">
        <f t="shared" si="1"/>
        <v>18.25</v>
      </c>
      <c r="G18" s="9">
        <f t="shared" si="1"/>
        <v>16</v>
      </c>
      <c r="H18" s="9">
        <f t="shared" si="1"/>
        <v>18.25</v>
      </c>
      <c r="I18" s="9">
        <f t="shared" si="1"/>
        <v>25</v>
      </c>
      <c r="J18" s="9">
        <f t="shared" si="1"/>
        <v>36.25</v>
      </c>
      <c r="K18" s="9">
        <f t="shared" si="1"/>
        <v>52</v>
      </c>
      <c r="L18" s="9">
        <f t="shared" si="1"/>
        <v>72.25</v>
      </c>
      <c r="M18" s="9">
        <f t="shared" si="1"/>
        <v>97</v>
      </c>
      <c r="N18" s="9">
        <f t="shared" si="1"/>
        <v>126.25</v>
      </c>
      <c r="O18" s="9">
        <f t="shared" si="1"/>
        <v>160</v>
      </c>
    </row>
    <row r="19" spans="1:15" ht="15.75" x14ac:dyDescent="0.25">
      <c r="A19" s="1">
        <v>4.5</v>
      </c>
      <c r="B19" s="9">
        <f t="shared" si="1"/>
        <v>76.5</v>
      </c>
      <c r="C19" s="9">
        <f t="shared" si="1"/>
        <v>56.25</v>
      </c>
      <c r="D19" s="9">
        <f t="shared" si="1"/>
        <v>40.5</v>
      </c>
      <c r="E19" s="9">
        <f t="shared" si="1"/>
        <v>29.25</v>
      </c>
      <c r="F19" s="9">
        <f t="shared" si="1"/>
        <v>22.5</v>
      </c>
      <c r="G19" s="9">
        <f t="shared" si="1"/>
        <v>20.25</v>
      </c>
      <c r="H19" s="9">
        <f t="shared" si="1"/>
        <v>22.5</v>
      </c>
      <c r="I19" s="9">
        <f t="shared" si="1"/>
        <v>29.25</v>
      </c>
      <c r="J19" s="9">
        <f t="shared" si="1"/>
        <v>40.5</v>
      </c>
      <c r="K19" s="9">
        <f t="shared" si="1"/>
        <v>56.25</v>
      </c>
      <c r="L19" s="9">
        <f t="shared" si="1"/>
        <v>76.5</v>
      </c>
      <c r="M19" s="9">
        <f t="shared" si="1"/>
        <v>101.25</v>
      </c>
      <c r="N19" s="9">
        <f t="shared" si="1"/>
        <v>130.5</v>
      </c>
      <c r="O19" s="9">
        <f t="shared" si="1"/>
        <v>164.25</v>
      </c>
    </row>
    <row r="20" spans="1:15" ht="15.75" x14ac:dyDescent="0.25">
      <c r="A20" s="1">
        <v>5</v>
      </c>
      <c r="B20" s="9">
        <f t="shared" si="1"/>
        <v>81.25</v>
      </c>
      <c r="C20" s="9">
        <f t="shared" si="1"/>
        <v>61</v>
      </c>
      <c r="D20" s="9">
        <f t="shared" si="1"/>
        <v>45.25</v>
      </c>
      <c r="E20" s="9">
        <f t="shared" si="1"/>
        <v>34</v>
      </c>
      <c r="F20" s="9">
        <f t="shared" si="1"/>
        <v>27.25</v>
      </c>
      <c r="G20" s="9">
        <f t="shared" si="1"/>
        <v>25</v>
      </c>
      <c r="H20" s="9">
        <f t="shared" si="1"/>
        <v>27.25</v>
      </c>
      <c r="I20" s="9">
        <f t="shared" si="1"/>
        <v>34</v>
      </c>
      <c r="J20" s="9">
        <f t="shared" si="1"/>
        <v>45.25</v>
      </c>
      <c r="K20" s="9">
        <f t="shared" si="1"/>
        <v>61</v>
      </c>
      <c r="L20" s="9">
        <f t="shared" si="1"/>
        <v>81.25</v>
      </c>
      <c r="M20" s="9">
        <f t="shared" si="1"/>
        <v>106</v>
      </c>
      <c r="N20" s="9">
        <f t="shared" si="1"/>
        <v>135.25</v>
      </c>
      <c r="O20" s="9">
        <f t="shared" si="1"/>
        <v>169</v>
      </c>
    </row>
    <row r="21" spans="1:15" ht="15.75" x14ac:dyDescent="0.25">
      <c r="A21" s="1">
        <v>5.5</v>
      </c>
      <c r="B21" s="9">
        <f t="shared" si="1"/>
        <v>86.5</v>
      </c>
      <c r="C21" s="9">
        <f t="shared" si="1"/>
        <v>66.25</v>
      </c>
      <c r="D21" s="9">
        <f t="shared" si="1"/>
        <v>50.5</v>
      </c>
      <c r="E21" s="9">
        <f t="shared" si="1"/>
        <v>39.25</v>
      </c>
      <c r="F21" s="9">
        <f t="shared" si="1"/>
        <v>32.5</v>
      </c>
      <c r="G21" s="9">
        <f t="shared" si="1"/>
        <v>30.25</v>
      </c>
      <c r="H21" s="9">
        <f t="shared" si="1"/>
        <v>32.5</v>
      </c>
      <c r="I21" s="9">
        <f t="shared" si="1"/>
        <v>39.25</v>
      </c>
      <c r="J21" s="9">
        <f t="shared" si="1"/>
        <v>50.5</v>
      </c>
      <c r="K21" s="9">
        <f t="shared" si="1"/>
        <v>66.25</v>
      </c>
      <c r="L21" s="9">
        <f t="shared" si="1"/>
        <v>86.5</v>
      </c>
      <c r="M21" s="9">
        <f t="shared" si="1"/>
        <v>111.25</v>
      </c>
      <c r="N21" s="9">
        <f t="shared" si="1"/>
        <v>140.5</v>
      </c>
      <c r="O21" s="9">
        <f t="shared" si="1"/>
        <v>174.25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1"/>
  <sheetViews>
    <sheetView tabSelected="1" workbookViewId="0">
      <selection activeCell="N23" sqref="N23"/>
    </sheetView>
  </sheetViews>
  <sheetFormatPr defaultRowHeight="15" x14ac:dyDescent="0.25"/>
  <sheetData>
    <row r="1" spans="1:20" ht="15.75" x14ac:dyDescent="0.25">
      <c r="A1" s="9"/>
      <c r="B1" s="1">
        <v>-100</v>
      </c>
      <c r="C1" s="1">
        <v>-54.2</v>
      </c>
      <c r="D1" s="1">
        <v>-8.4000000000000092</v>
      </c>
      <c r="E1" s="1">
        <v>37.4</v>
      </c>
      <c r="F1" s="1">
        <v>83.2</v>
      </c>
      <c r="G1" s="1">
        <v>129</v>
      </c>
      <c r="H1" s="1">
        <v>174.8</v>
      </c>
      <c r="I1" s="1">
        <v>220.6</v>
      </c>
      <c r="J1" s="1">
        <v>266.39999999999998</v>
      </c>
      <c r="K1" s="1">
        <v>312.2</v>
      </c>
      <c r="L1" s="1">
        <v>358</v>
      </c>
      <c r="M1" s="1">
        <v>403.8</v>
      </c>
      <c r="N1" s="1">
        <v>449.6</v>
      </c>
      <c r="O1" s="1">
        <v>495.4</v>
      </c>
    </row>
    <row r="2" spans="1:20" ht="15.75" x14ac:dyDescent="0.25">
      <c r="A2" s="1">
        <v>-100</v>
      </c>
      <c r="B2">
        <f>$A2^2/$S$3^2+B$1^2/$T$3^2</f>
        <v>3611.1111111111113</v>
      </c>
      <c r="C2">
        <f t="shared" ref="C2:O17" si="0">$A2^2/$S$3^2+C$1^2/$T$3^2</f>
        <v>2826.4044444444444</v>
      </c>
      <c r="D2">
        <f t="shared" si="0"/>
        <v>2507.84</v>
      </c>
      <c r="E2">
        <f t="shared" si="0"/>
        <v>2655.4177777777777</v>
      </c>
      <c r="F2">
        <f t="shared" si="0"/>
        <v>3269.137777777778</v>
      </c>
      <c r="G2">
        <f t="shared" si="0"/>
        <v>4349</v>
      </c>
      <c r="H2">
        <f t="shared" si="0"/>
        <v>5895.0044444444447</v>
      </c>
      <c r="I2">
        <f t="shared" si="0"/>
        <v>7907.1511111111113</v>
      </c>
      <c r="J2">
        <f t="shared" si="0"/>
        <v>10385.439999999999</v>
      </c>
      <c r="K2">
        <f t="shared" si="0"/>
        <v>13329.871111111112</v>
      </c>
      <c r="L2">
        <f t="shared" si="0"/>
        <v>16740.444444444445</v>
      </c>
      <c r="M2">
        <f t="shared" si="0"/>
        <v>20617.16</v>
      </c>
      <c r="N2">
        <f t="shared" si="0"/>
        <v>24960.017777777783</v>
      </c>
      <c r="O2">
        <f t="shared" si="0"/>
        <v>29769.017777777775</v>
      </c>
      <c r="S2" s="3" t="s">
        <v>10</v>
      </c>
      <c r="T2" s="3" t="s">
        <v>11</v>
      </c>
    </row>
    <row r="3" spans="1:20" ht="15.75" x14ac:dyDescent="0.25">
      <c r="A3" s="1">
        <v>-54.2</v>
      </c>
      <c r="B3">
        <f t="shared" ref="B3:O21" si="1">$A3^2/$S$3^2+B$1^2/$T$3^2</f>
        <v>1845.5211111111112</v>
      </c>
      <c r="C3">
        <f t="shared" si="0"/>
        <v>1060.8144444444447</v>
      </c>
      <c r="D3">
        <f t="shared" si="0"/>
        <v>742.25000000000011</v>
      </c>
      <c r="E3">
        <f t="shared" si="0"/>
        <v>889.8277777777779</v>
      </c>
      <c r="F3">
        <f t="shared" si="0"/>
        <v>1503.5477777777778</v>
      </c>
      <c r="G3">
        <f t="shared" si="0"/>
        <v>2583.41</v>
      </c>
      <c r="H3">
        <f t="shared" si="0"/>
        <v>4129.4144444444446</v>
      </c>
      <c r="I3">
        <f t="shared" si="0"/>
        <v>6141.5611111111111</v>
      </c>
      <c r="J3">
        <f t="shared" si="0"/>
        <v>8619.8499999999985</v>
      </c>
      <c r="K3">
        <f t="shared" si="0"/>
        <v>11564.281111111111</v>
      </c>
      <c r="L3">
        <f t="shared" si="0"/>
        <v>14974.854444444445</v>
      </c>
      <c r="M3">
        <f t="shared" si="0"/>
        <v>18851.57</v>
      </c>
      <c r="N3">
        <f t="shared" si="0"/>
        <v>23194.427777777782</v>
      </c>
      <c r="O3">
        <f t="shared" si="0"/>
        <v>28003.427777777775</v>
      </c>
      <c r="S3" s="10">
        <v>2</v>
      </c>
      <c r="T3" s="10">
        <v>3</v>
      </c>
    </row>
    <row r="4" spans="1:20" ht="15.75" x14ac:dyDescent="0.25">
      <c r="A4" s="1">
        <v>-8.4000000000000092</v>
      </c>
      <c r="B4">
        <f t="shared" si="1"/>
        <v>1128.7511111111112</v>
      </c>
      <c r="C4">
        <f t="shared" si="0"/>
        <v>344.04444444444454</v>
      </c>
      <c r="D4">
        <f t="shared" si="0"/>
        <v>25.480000000000057</v>
      </c>
      <c r="E4">
        <f t="shared" si="0"/>
        <v>173.05777777777783</v>
      </c>
      <c r="F4">
        <f t="shared" si="0"/>
        <v>786.77777777777783</v>
      </c>
      <c r="G4">
        <f t="shared" si="0"/>
        <v>1866.64</v>
      </c>
      <c r="H4">
        <f t="shared" si="0"/>
        <v>3412.6444444444446</v>
      </c>
      <c r="I4">
        <f t="shared" si="0"/>
        <v>5424.7911111111116</v>
      </c>
      <c r="J4">
        <f t="shared" si="0"/>
        <v>7903.079999999999</v>
      </c>
      <c r="K4">
        <f t="shared" si="0"/>
        <v>10847.511111111111</v>
      </c>
      <c r="L4">
        <f t="shared" si="0"/>
        <v>14258.084444444445</v>
      </c>
      <c r="M4">
        <f t="shared" si="0"/>
        <v>18134.8</v>
      </c>
      <c r="N4">
        <f t="shared" si="0"/>
        <v>22477.657777777782</v>
      </c>
      <c r="O4">
        <f t="shared" si="0"/>
        <v>27286.657777777775</v>
      </c>
    </row>
    <row r="5" spans="1:20" ht="15.75" x14ac:dyDescent="0.25">
      <c r="A5" s="1">
        <v>37.4</v>
      </c>
      <c r="B5">
        <f t="shared" si="1"/>
        <v>1460.8011111111111</v>
      </c>
      <c r="C5">
        <f t="shared" si="0"/>
        <v>676.09444444444443</v>
      </c>
      <c r="D5">
        <f t="shared" si="0"/>
        <v>357.53000000000003</v>
      </c>
      <c r="E5">
        <f t="shared" si="0"/>
        <v>505.10777777777776</v>
      </c>
      <c r="F5">
        <f t="shared" si="0"/>
        <v>1118.8277777777778</v>
      </c>
      <c r="G5">
        <f t="shared" si="0"/>
        <v>2198.69</v>
      </c>
      <c r="H5">
        <f t="shared" si="0"/>
        <v>3744.6944444444448</v>
      </c>
      <c r="I5">
        <f t="shared" si="0"/>
        <v>5756.8411111111109</v>
      </c>
      <c r="J5">
        <f t="shared" si="0"/>
        <v>8235.1299999999992</v>
      </c>
      <c r="K5">
        <f t="shared" si="0"/>
        <v>11179.561111111112</v>
      </c>
      <c r="L5">
        <f t="shared" si="0"/>
        <v>14590.134444444446</v>
      </c>
      <c r="M5">
        <f t="shared" si="0"/>
        <v>18466.849999999999</v>
      </c>
      <c r="N5">
        <f t="shared" si="0"/>
        <v>22809.707777777781</v>
      </c>
      <c r="O5">
        <f t="shared" si="0"/>
        <v>27618.707777777774</v>
      </c>
    </row>
    <row r="6" spans="1:20" ht="15.75" x14ac:dyDescent="0.25">
      <c r="A6" s="1">
        <v>83.2</v>
      </c>
      <c r="B6">
        <f t="shared" si="1"/>
        <v>2841.6711111111113</v>
      </c>
      <c r="C6">
        <f t="shared" si="0"/>
        <v>2056.9644444444448</v>
      </c>
      <c r="D6">
        <f t="shared" si="0"/>
        <v>1738.4</v>
      </c>
      <c r="E6">
        <f t="shared" si="0"/>
        <v>1885.9777777777779</v>
      </c>
      <c r="F6">
        <f t="shared" si="0"/>
        <v>2499.6977777777779</v>
      </c>
      <c r="G6">
        <f t="shared" si="0"/>
        <v>3579.5600000000004</v>
      </c>
      <c r="H6">
        <f t="shared" si="0"/>
        <v>5125.5644444444451</v>
      </c>
      <c r="I6">
        <f t="shared" si="0"/>
        <v>7137.7111111111117</v>
      </c>
      <c r="J6">
        <f t="shared" si="0"/>
        <v>9615.9999999999982</v>
      </c>
      <c r="K6">
        <f t="shared" si="0"/>
        <v>12560.431111111111</v>
      </c>
      <c r="L6">
        <f t="shared" si="0"/>
        <v>15971.004444444445</v>
      </c>
      <c r="M6">
        <f t="shared" si="0"/>
        <v>19847.72</v>
      </c>
      <c r="N6">
        <f t="shared" si="0"/>
        <v>24190.577777777784</v>
      </c>
      <c r="O6">
        <f t="shared" si="0"/>
        <v>28999.577777777777</v>
      </c>
    </row>
    <row r="7" spans="1:20" ht="15.75" x14ac:dyDescent="0.25">
      <c r="A7" s="1">
        <v>129</v>
      </c>
      <c r="B7">
        <f t="shared" si="1"/>
        <v>5271.3611111111113</v>
      </c>
      <c r="C7">
        <f t="shared" si="0"/>
        <v>4486.6544444444444</v>
      </c>
      <c r="D7">
        <f t="shared" si="0"/>
        <v>4168.09</v>
      </c>
      <c r="E7">
        <f t="shared" si="0"/>
        <v>4315.6677777777777</v>
      </c>
      <c r="F7">
        <f t="shared" si="0"/>
        <v>4929.387777777778</v>
      </c>
      <c r="G7">
        <f t="shared" si="0"/>
        <v>6009.25</v>
      </c>
      <c r="H7">
        <f t="shared" si="0"/>
        <v>7555.2544444444447</v>
      </c>
      <c r="I7">
        <f t="shared" si="0"/>
        <v>9567.4011111111104</v>
      </c>
      <c r="J7">
        <f t="shared" si="0"/>
        <v>12045.689999999999</v>
      </c>
      <c r="K7">
        <f t="shared" si="0"/>
        <v>14990.121111111112</v>
      </c>
      <c r="L7">
        <f t="shared" si="0"/>
        <v>18400.694444444445</v>
      </c>
      <c r="M7">
        <f t="shared" si="0"/>
        <v>22277.41</v>
      </c>
      <c r="N7">
        <f t="shared" si="0"/>
        <v>26620.267777777783</v>
      </c>
      <c r="O7">
        <f t="shared" si="0"/>
        <v>31429.267777777775</v>
      </c>
    </row>
    <row r="8" spans="1:20" ht="15.75" x14ac:dyDescent="0.25">
      <c r="A8" s="1">
        <v>174.8</v>
      </c>
      <c r="B8">
        <f t="shared" si="1"/>
        <v>8749.8711111111115</v>
      </c>
      <c r="C8">
        <f t="shared" si="0"/>
        <v>7965.1644444444455</v>
      </c>
      <c r="D8">
        <f t="shared" si="0"/>
        <v>7646.6000000000013</v>
      </c>
      <c r="E8">
        <f t="shared" si="0"/>
        <v>7794.1777777777788</v>
      </c>
      <c r="F8">
        <f t="shared" si="0"/>
        <v>8407.8977777777782</v>
      </c>
      <c r="G8">
        <f t="shared" si="0"/>
        <v>9487.760000000002</v>
      </c>
      <c r="H8">
        <f t="shared" si="0"/>
        <v>11033.764444444445</v>
      </c>
      <c r="I8">
        <f t="shared" si="0"/>
        <v>13045.911111111112</v>
      </c>
      <c r="J8">
        <f t="shared" si="0"/>
        <v>15524.2</v>
      </c>
      <c r="K8">
        <f t="shared" si="0"/>
        <v>18468.631111111114</v>
      </c>
      <c r="L8">
        <f t="shared" si="0"/>
        <v>21879.204444444447</v>
      </c>
      <c r="M8">
        <f t="shared" si="0"/>
        <v>25755.920000000002</v>
      </c>
      <c r="N8">
        <f t="shared" si="0"/>
        <v>30098.777777777785</v>
      </c>
      <c r="O8">
        <f t="shared" si="0"/>
        <v>34907.777777777774</v>
      </c>
    </row>
    <row r="9" spans="1:20" ht="15.75" x14ac:dyDescent="0.25">
      <c r="A9" s="1">
        <v>220.6</v>
      </c>
      <c r="B9">
        <f t="shared" si="1"/>
        <v>13277.201111111111</v>
      </c>
      <c r="C9">
        <f t="shared" si="0"/>
        <v>12492.494444444445</v>
      </c>
      <c r="D9">
        <f t="shared" si="0"/>
        <v>12173.93</v>
      </c>
      <c r="E9">
        <f t="shared" si="0"/>
        <v>12321.507777777779</v>
      </c>
      <c r="F9">
        <f t="shared" si="0"/>
        <v>12935.227777777778</v>
      </c>
      <c r="G9">
        <f t="shared" si="0"/>
        <v>14015.09</v>
      </c>
      <c r="H9">
        <f t="shared" si="0"/>
        <v>15561.094444444445</v>
      </c>
      <c r="I9">
        <f t="shared" si="0"/>
        <v>17573.241111111111</v>
      </c>
      <c r="J9">
        <f t="shared" si="0"/>
        <v>20051.53</v>
      </c>
      <c r="K9">
        <f t="shared" si="0"/>
        <v>22995.961111111112</v>
      </c>
      <c r="L9">
        <f t="shared" si="0"/>
        <v>26406.534444444445</v>
      </c>
      <c r="M9">
        <f t="shared" si="0"/>
        <v>30283.25</v>
      </c>
      <c r="N9">
        <f t="shared" si="0"/>
        <v>34626.107777777783</v>
      </c>
      <c r="O9">
        <f t="shared" si="0"/>
        <v>39435.107777777775</v>
      </c>
    </row>
    <row r="10" spans="1:20" ht="15.75" x14ac:dyDescent="0.25">
      <c r="A10" s="1">
        <v>266.39999999999998</v>
      </c>
      <c r="B10">
        <f t="shared" si="1"/>
        <v>18853.351111111107</v>
      </c>
      <c r="C10">
        <f t="shared" si="0"/>
        <v>18068.644444444442</v>
      </c>
      <c r="D10">
        <f t="shared" si="0"/>
        <v>17750.079999999998</v>
      </c>
      <c r="E10">
        <f t="shared" si="0"/>
        <v>17897.657777777775</v>
      </c>
      <c r="F10">
        <f t="shared" si="0"/>
        <v>18511.377777777776</v>
      </c>
      <c r="G10">
        <f t="shared" si="0"/>
        <v>19591.239999999998</v>
      </c>
      <c r="H10">
        <f t="shared" si="0"/>
        <v>21137.244444444441</v>
      </c>
      <c r="I10">
        <f t="shared" si="0"/>
        <v>23149.391111111108</v>
      </c>
      <c r="J10">
        <f t="shared" si="0"/>
        <v>25627.679999999997</v>
      </c>
      <c r="K10">
        <f t="shared" si="0"/>
        <v>28572.111111111109</v>
      </c>
      <c r="L10">
        <f t="shared" si="0"/>
        <v>31982.684444444443</v>
      </c>
      <c r="M10">
        <f t="shared" si="0"/>
        <v>35859.399999999994</v>
      </c>
      <c r="N10">
        <f t="shared" si="0"/>
        <v>40202.257777777777</v>
      </c>
      <c r="O10">
        <f t="shared" si="0"/>
        <v>45011.257777777777</v>
      </c>
    </row>
    <row r="11" spans="1:20" ht="15.75" x14ac:dyDescent="0.25">
      <c r="A11" s="1">
        <v>312.2</v>
      </c>
      <c r="B11">
        <f t="shared" si="1"/>
        <v>25478.321111111109</v>
      </c>
      <c r="C11">
        <f t="shared" si="0"/>
        <v>24693.614444444444</v>
      </c>
      <c r="D11">
        <f t="shared" si="0"/>
        <v>24375.05</v>
      </c>
      <c r="E11">
        <f t="shared" si="0"/>
        <v>24522.627777777776</v>
      </c>
      <c r="F11">
        <f t="shared" si="0"/>
        <v>25136.347777777777</v>
      </c>
      <c r="G11">
        <f t="shared" si="0"/>
        <v>26216.21</v>
      </c>
      <c r="H11">
        <f t="shared" si="0"/>
        <v>27762.214444444442</v>
      </c>
      <c r="I11">
        <f t="shared" si="0"/>
        <v>29774.361111111109</v>
      </c>
      <c r="J11">
        <f t="shared" si="0"/>
        <v>32252.649999999998</v>
      </c>
      <c r="K11">
        <f t="shared" si="0"/>
        <v>35197.081111111111</v>
      </c>
      <c r="L11">
        <f t="shared" si="0"/>
        <v>38607.654444444444</v>
      </c>
      <c r="M11">
        <f t="shared" si="0"/>
        <v>42484.369999999995</v>
      </c>
      <c r="N11">
        <f t="shared" si="0"/>
        <v>46827.227777777778</v>
      </c>
      <c r="O11">
        <f t="shared" si="0"/>
        <v>51636.227777777778</v>
      </c>
    </row>
    <row r="12" spans="1:20" ht="15.75" x14ac:dyDescent="0.25">
      <c r="A12" s="1">
        <v>358</v>
      </c>
      <c r="B12">
        <f t="shared" si="1"/>
        <v>33152.111111111109</v>
      </c>
      <c r="C12">
        <f t="shared" si="0"/>
        <v>32367.404444444444</v>
      </c>
      <c r="D12">
        <f t="shared" si="0"/>
        <v>32048.84</v>
      </c>
      <c r="E12">
        <f t="shared" si="0"/>
        <v>32196.417777777777</v>
      </c>
      <c r="F12">
        <f t="shared" si="0"/>
        <v>32810.137777777774</v>
      </c>
      <c r="G12">
        <f t="shared" si="0"/>
        <v>33890</v>
      </c>
      <c r="H12">
        <f t="shared" si="0"/>
        <v>35436.004444444443</v>
      </c>
      <c r="I12">
        <f t="shared" si="0"/>
        <v>37448.15111111111</v>
      </c>
      <c r="J12">
        <f t="shared" si="0"/>
        <v>39926.44</v>
      </c>
      <c r="K12">
        <f t="shared" si="0"/>
        <v>42870.871111111112</v>
      </c>
      <c r="L12">
        <f t="shared" si="0"/>
        <v>46281.444444444445</v>
      </c>
      <c r="M12">
        <f t="shared" si="0"/>
        <v>50158.16</v>
      </c>
      <c r="N12">
        <f t="shared" si="0"/>
        <v>54501.017777777786</v>
      </c>
      <c r="O12">
        <f t="shared" si="0"/>
        <v>59310.017777777772</v>
      </c>
    </row>
    <row r="13" spans="1:20" ht="15.75" x14ac:dyDescent="0.25">
      <c r="A13" s="1">
        <v>403.8</v>
      </c>
      <c r="B13">
        <f t="shared" si="1"/>
        <v>41874.72111111111</v>
      </c>
      <c r="C13">
        <f t="shared" si="0"/>
        <v>41090.014444444445</v>
      </c>
      <c r="D13">
        <f t="shared" si="0"/>
        <v>40771.449999999997</v>
      </c>
      <c r="E13">
        <f t="shared" si="0"/>
        <v>40919.027777777781</v>
      </c>
      <c r="F13">
        <f t="shared" si="0"/>
        <v>41532.747777777775</v>
      </c>
      <c r="G13">
        <f t="shared" si="0"/>
        <v>42612.61</v>
      </c>
      <c r="H13">
        <f t="shared" si="0"/>
        <v>44158.614444444444</v>
      </c>
      <c r="I13">
        <f t="shared" si="0"/>
        <v>46170.761111111111</v>
      </c>
      <c r="J13">
        <f t="shared" si="0"/>
        <v>48649.05</v>
      </c>
      <c r="K13">
        <f t="shared" si="0"/>
        <v>51593.481111111112</v>
      </c>
      <c r="L13">
        <f t="shared" si="0"/>
        <v>55004.054444444446</v>
      </c>
      <c r="M13">
        <f t="shared" si="0"/>
        <v>58880.770000000004</v>
      </c>
      <c r="N13">
        <f t="shared" si="0"/>
        <v>63223.627777777787</v>
      </c>
      <c r="O13">
        <f t="shared" si="0"/>
        <v>68032.627777777772</v>
      </c>
    </row>
    <row r="14" spans="1:20" ht="15.75" x14ac:dyDescent="0.25">
      <c r="A14" s="1">
        <v>449.6</v>
      </c>
      <c r="B14">
        <f t="shared" si="1"/>
        <v>51646.151111111118</v>
      </c>
      <c r="C14">
        <f t="shared" si="0"/>
        <v>50861.444444444453</v>
      </c>
      <c r="D14">
        <f t="shared" si="0"/>
        <v>50542.880000000005</v>
      </c>
      <c r="E14">
        <f t="shared" si="0"/>
        <v>50690.457777777789</v>
      </c>
      <c r="F14">
        <f t="shared" si="0"/>
        <v>51304.177777777782</v>
      </c>
      <c r="G14">
        <f t="shared" si="0"/>
        <v>52384.040000000008</v>
      </c>
      <c r="H14">
        <f t="shared" si="0"/>
        <v>53930.044444444451</v>
      </c>
      <c r="I14">
        <f t="shared" si="0"/>
        <v>55942.191111111119</v>
      </c>
      <c r="J14">
        <f t="shared" si="0"/>
        <v>58420.48000000001</v>
      </c>
      <c r="K14">
        <f t="shared" si="0"/>
        <v>61364.91111111112</v>
      </c>
      <c r="L14">
        <f t="shared" si="0"/>
        <v>64775.484444444453</v>
      </c>
      <c r="M14">
        <f t="shared" si="0"/>
        <v>68652.200000000012</v>
      </c>
      <c r="N14">
        <f t="shared" si="0"/>
        <v>72995.057777777794</v>
      </c>
      <c r="O14">
        <f t="shared" si="0"/>
        <v>77804.05777777778</v>
      </c>
    </row>
    <row r="15" spans="1:20" ht="15.75" x14ac:dyDescent="0.25">
      <c r="A15" s="1">
        <v>495.4</v>
      </c>
      <c r="B15">
        <f t="shared" si="1"/>
        <v>62466.401111111103</v>
      </c>
      <c r="C15">
        <f t="shared" si="0"/>
        <v>61681.694444444438</v>
      </c>
      <c r="D15">
        <f t="shared" si="0"/>
        <v>61363.12999999999</v>
      </c>
      <c r="E15">
        <f t="shared" si="0"/>
        <v>61510.707777777774</v>
      </c>
      <c r="F15">
        <f t="shared" si="0"/>
        <v>62124.427777777768</v>
      </c>
      <c r="G15">
        <f t="shared" si="0"/>
        <v>63204.289999999994</v>
      </c>
      <c r="H15">
        <f t="shared" si="0"/>
        <v>64750.294444444437</v>
      </c>
      <c r="I15">
        <f t="shared" si="0"/>
        <v>66762.441111111111</v>
      </c>
      <c r="J15">
        <f t="shared" si="0"/>
        <v>69240.73</v>
      </c>
      <c r="K15">
        <f t="shared" si="0"/>
        <v>72185.161111111112</v>
      </c>
      <c r="L15">
        <f t="shared" si="0"/>
        <v>75595.734444444446</v>
      </c>
      <c r="M15">
        <f t="shared" si="0"/>
        <v>79472.45</v>
      </c>
      <c r="N15">
        <f t="shared" si="0"/>
        <v>83815.30777777778</v>
      </c>
      <c r="O15">
        <f t="shared" si="0"/>
        <v>88624.307777777765</v>
      </c>
    </row>
    <row r="16" spans="1:20" ht="15.75" x14ac:dyDescent="0.25">
      <c r="A16" s="1">
        <v>541.20000000000005</v>
      </c>
      <c r="B16">
        <f t="shared" si="1"/>
        <v>74335.471111111125</v>
      </c>
      <c r="C16">
        <f t="shared" si="0"/>
        <v>73550.76444444446</v>
      </c>
      <c r="D16">
        <f t="shared" si="0"/>
        <v>73232.200000000012</v>
      </c>
      <c r="E16">
        <f t="shared" si="0"/>
        <v>73379.777777777796</v>
      </c>
      <c r="F16">
        <f t="shared" si="0"/>
        <v>73993.497777777797</v>
      </c>
      <c r="G16">
        <f t="shared" si="0"/>
        <v>75073.360000000015</v>
      </c>
      <c r="H16">
        <f t="shared" si="0"/>
        <v>76619.364444444465</v>
      </c>
      <c r="I16">
        <f t="shared" si="0"/>
        <v>78631.511111111133</v>
      </c>
      <c r="J16">
        <f t="shared" si="0"/>
        <v>81109.800000000017</v>
      </c>
      <c r="K16">
        <f t="shared" si="0"/>
        <v>84054.231111111119</v>
      </c>
      <c r="L16">
        <f t="shared" si="0"/>
        <v>87464.804444444453</v>
      </c>
      <c r="M16">
        <f t="shared" si="0"/>
        <v>91341.520000000019</v>
      </c>
      <c r="N16">
        <f t="shared" si="0"/>
        <v>95684.377777777801</v>
      </c>
      <c r="O16">
        <f t="shared" si="0"/>
        <v>100493.37777777779</v>
      </c>
    </row>
    <row r="17" spans="1:15" ht="15.75" x14ac:dyDescent="0.25">
      <c r="A17" s="1">
        <v>587</v>
      </c>
      <c r="B17">
        <f t="shared" si="1"/>
        <v>87253.361111111109</v>
      </c>
      <c r="C17">
        <f t="shared" si="0"/>
        <v>86468.654444444444</v>
      </c>
      <c r="D17">
        <f t="shared" si="0"/>
        <v>86150.09</v>
      </c>
      <c r="E17">
        <f t="shared" si="0"/>
        <v>86297.66777777778</v>
      </c>
      <c r="F17">
        <f t="shared" si="0"/>
        <v>86911.387777777782</v>
      </c>
      <c r="G17">
        <f t="shared" si="0"/>
        <v>87991.25</v>
      </c>
      <c r="H17">
        <f t="shared" si="0"/>
        <v>89537.25444444445</v>
      </c>
      <c r="I17">
        <f t="shared" si="0"/>
        <v>91549.401111111118</v>
      </c>
      <c r="J17">
        <f t="shared" si="0"/>
        <v>94027.69</v>
      </c>
      <c r="K17">
        <f t="shared" si="0"/>
        <v>96972.121111111104</v>
      </c>
      <c r="L17">
        <f t="shared" si="0"/>
        <v>100382.69444444444</v>
      </c>
      <c r="M17">
        <f t="shared" si="0"/>
        <v>104259.41</v>
      </c>
      <c r="N17">
        <f t="shared" si="0"/>
        <v>108602.26777777779</v>
      </c>
      <c r="O17">
        <f t="shared" si="0"/>
        <v>113411.26777777777</v>
      </c>
    </row>
    <row r="18" spans="1:15" ht="15.75" x14ac:dyDescent="0.25">
      <c r="A18" s="1">
        <v>632.79999999999995</v>
      </c>
      <c r="B18">
        <f t="shared" si="1"/>
        <v>101220.0711111111</v>
      </c>
      <c r="C18">
        <f t="shared" si="1"/>
        <v>100435.36444444444</v>
      </c>
      <c r="D18">
        <f t="shared" si="1"/>
        <v>100116.79999999999</v>
      </c>
      <c r="E18">
        <f t="shared" si="1"/>
        <v>100264.37777777777</v>
      </c>
      <c r="F18">
        <f t="shared" si="1"/>
        <v>100878.09777777777</v>
      </c>
      <c r="G18">
        <f t="shared" si="1"/>
        <v>101957.95999999999</v>
      </c>
      <c r="H18">
        <f t="shared" si="1"/>
        <v>103503.96444444444</v>
      </c>
      <c r="I18">
        <f t="shared" si="1"/>
        <v>105516.11111111111</v>
      </c>
      <c r="J18">
        <f t="shared" si="1"/>
        <v>107994.4</v>
      </c>
      <c r="K18">
        <f t="shared" si="1"/>
        <v>110938.8311111111</v>
      </c>
      <c r="L18">
        <f t="shared" si="1"/>
        <v>114349.40444444443</v>
      </c>
      <c r="M18">
        <f t="shared" si="1"/>
        <v>118226.12</v>
      </c>
      <c r="N18">
        <f t="shared" si="1"/>
        <v>122568.97777777778</v>
      </c>
      <c r="O18">
        <f t="shared" si="1"/>
        <v>127377.97777777776</v>
      </c>
    </row>
    <row r="19" spans="1:15" ht="15.75" x14ac:dyDescent="0.25">
      <c r="A19" s="1">
        <v>678.6</v>
      </c>
      <c r="B19">
        <f t="shared" si="1"/>
        <v>116235.60111111111</v>
      </c>
      <c r="C19">
        <f t="shared" si="1"/>
        <v>115450.89444444445</v>
      </c>
      <c r="D19">
        <f t="shared" si="1"/>
        <v>115132.33</v>
      </c>
      <c r="E19">
        <f t="shared" si="1"/>
        <v>115279.90777777779</v>
      </c>
      <c r="F19">
        <f t="shared" si="1"/>
        <v>115893.62777777779</v>
      </c>
      <c r="G19">
        <f t="shared" si="1"/>
        <v>116973.49</v>
      </c>
      <c r="H19">
        <f t="shared" si="1"/>
        <v>118519.49444444446</v>
      </c>
      <c r="I19">
        <f t="shared" si="1"/>
        <v>120531.64111111112</v>
      </c>
      <c r="J19">
        <f t="shared" si="1"/>
        <v>123009.93000000001</v>
      </c>
      <c r="K19">
        <f t="shared" si="1"/>
        <v>125954.36111111112</v>
      </c>
      <c r="L19">
        <f t="shared" si="1"/>
        <v>129364.93444444446</v>
      </c>
      <c r="M19">
        <f t="shared" si="1"/>
        <v>133241.65</v>
      </c>
      <c r="N19">
        <f t="shared" si="1"/>
        <v>137584.50777777779</v>
      </c>
      <c r="O19">
        <f t="shared" si="1"/>
        <v>142393.50777777779</v>
      </c>
    </row>
    <row r="20" spans="1:15" ht="15.75" x14ac:dyDescent="0.25">
      <c r="A20" s="1">
        <v>724.4</v>
      </c>
      <c r="B20">
        <f t="shared" si="1"/>
        <v>132299.95111111112</v>
      </c>
      <c r="C20">
        <f t="shared" si="1"/>
        <v>131515.24444444446</v>
      </c>
      <c r="D20">
        <f t="shared" si="1"/>
        <v>131196.68</v>
      </c>
      <c r="E20">
        <f t="shared" si="1"/>
        <v>131344.25777777776</v>
      </c>
      <c r="F20">
        <f t="shared" si="1"/>
        <v>131957.97777777776</v>
      </c>
      <c r="G20">
        <f t="shared" si="1"/>
        <v>133037.84</v>
      </c>
      <c r="H20">
        <f t="shared" si="1"/>
        <v>134583.84444444443</v>
      </c>
      <c r="I20">
        <f t="shared" si="1"/>
        <v>136595.9911111111</v>
      </c>
      <c r="J20">
        <f t="shared" si="1"/>
        <v>139074.28</v>
      </c>
      <c r="K20">
        <f t="shared" si="1"/>
        <v>142018.7111111111</v>
      </c>
      <c r="L20">
        <f t="shared" si="1"/>
        <v>145429.28444444443</v>
      </c>
      <c r="M20">
        <f t="shared" si="1"/>
        <v>149306</v>
      </c>
      <c r="N20">
        <f t="shared" si="1"/>
        <v>153648.85777777777</v>
      </c>
      <c r="O20">
        <f t="shared" si="1"/>
        <v>158457.85777777777</v>
      </c>
    </row>
    <row r="21" spans="1:15" ht="15.75" x14ac:dyDescent="0.25">
      <c r="A21" s="1">
        <v>770.2</v>
      </c>
      <c r="B21">
        <f t="shared" si="1"/>
        <v>149413.12111111113</v>
      </c>
      <c r="C21">
        <f t="shared" si="1"/>
        <v>148628.41444444447</v>
      </c>
      <c r="D21">
        <f t="shared" si="1"/>
        <v>148309.85</v>
      </c>
      <c r="E21">
        <f t="shared" si="1"/>
        <v>148457.42777777778</v>
      </c>
      <c r="F21">
        <f t="shared" si="1"/>
        <v>149071.14777777778</v>
      </c>
      <c r="G21">
        <f t="shared" si="1"/>
        <v>150151.01</v>
      </c>
      <c r="H21">
        <f t="shared" si="1"/>
        <v>151697.01444444444</v>
      </c>
      <c r="I21">
        <f t="shared" si="1"/>
        <v>153709.16111111111</v>
      </c>
      <c r="J21">
        <f t="shared" si="1"/>
        <v>156187.45000000001</v>
      </c>
      <c r="K21">
        <f t="shared" si="1"/>
        <v>159131.88111111111</v>
      </c>
      <c r="L21">
        <f t="shared" si="1"/>
        <v>162542.45444444445</v>
      </c>
      <c r="M21">
        <f t="shared" si="1"/>
        <v>166419.17000000001</v>
      </c>
      <c r="N21">
        <f t="shared" si="1"/>
        <v>170762.02777777778</v>
      </c>
      <c r="O21">
        <f t="shared" si="1"/>
        <v>175571.02777777778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Задание 2.1</vt:lpstr>
      <vt:lpstr>Задание 2.2</vt:lpstr>
      <vt:lpstr>Задание 2.2(собственный)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Даниил Аннануров</dc:creator>
  <cp:lastModifiedBy>Даниил Аннануров</cp:lastModifiedBy>
  <dcterms:created xsi:type="dcterms:W3CDTF">2022-09-22T16:39:23Z</dcterms:created>
  <dcterms:modified xsi:type="dcterms:W3CDTF">2022-09-22T18:37:16Z</dcterms:modified>
</cp:coreProperties>
</file>