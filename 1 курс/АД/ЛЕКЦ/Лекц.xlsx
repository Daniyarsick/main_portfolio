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8" i="1" s="1"/>
  <c r="L5" i="1"/>
  <c r="L6" i="1"/>
  <c r="L7" i="1"/>
  <c r="L2" i="1"/>
  <c r="K3" i="1"/>
  <c r="K4" i="1"/>
  <c r="K5" i="1"/>
  <c r="K6" i="1"/>
  <c r="K7" i="1"/>
  <c r="K2" i="1"/>
  <c r="K8" i="1" s="1"/>
  <c r="J3" i="1"/>
  <c r="J4" i="1"/>
  <c r="J5" i="1"/>
  <c r="J6" i="1"/>
  <c r="J7" i="1"/>
  <c r="J2" i="1"/>
  <c r="D8" i="1"/>
  <c r="E8" i="1"/>
  <c r="H8" i="1"/>
  <c r="I8" i="1"/>
  <c r="C8" i="1"/>
  <c r="I7" i="1"/>
  <c r="I6" i="1"/>
  <c r="I5" i="1"/>
  <c r="I4" i="1"/>
  <c r="I3" i="1"/>
  <c r="I2" i="1"/>
  <c r="G3" i="1"/>
  <c r="G8" i="1" s="1"/>
  <c r="G4" i="1"/>
  <c r="G5" i="1"/>
  <c r="G6" i="1"/>
  <c r="G7" i="1"/>
  <c r="G2" i="1"/>
  <c r="F3" i="1"/>
  <c r="F4" i="1"/>
  <c r="F5" i="1"/>
  <c r="F6" i="1"/>
  <c r="F7" i="1"/>
  <c r="F2" i="1"/>
  <c r="F8" i="1" s="1"/>
  <c r="E3" i="1"/>
  <c r="E4" i="1"/>
  <c r="E5" i="1"/>
  <c r="E6" i="1"/>
  <c r="E7" i="1"/>
  <c r="E2" i="1"/>
  <c r="J8" i="1" l="1"/>
</calcChain>
</file>

<file path=xl/sharedStrings.xml><?xml version="1.0" encoding="utf-8"?>
<sst xmlns="http://schemas.openxmlformats.org/spreadsheetml/2006/main" count="20" uniqueCount="20">
  <si>
    <t>xi*ni</t>
  </si>
  <si>
    <t>Ui</t>
  </si>
  <si>
    <t>Нормированные интервалы</t>
  </si>
  <si>
    <r>
      <t>(-</t>
    </r>
    <r>
      <rPr>
        <sz val="11"/>
        <color theme="1"/>
        <rFont val="Calibri"/>
        <family val="2"/>
      </rPr>
      <t>∞;-1.7)</t>
    </r>
  </si>
  <si>
    <t>[-1.7;-0.89]</t>
  </si>
  <si>
    <t>[-0.89;-0.08]</t>
  </si>
  <si>
    <t>[-0.08;0.73]</t>
  </si>
  <si>
    <t>[0.73;1.54]</t>
  </si>
  <si>
    <r>
      <t>[1.54;</t>
    </r>
    <r>
      <rPr>
        <sz val="11"/>
        <color theme="1"/>
        <rFont val="Calibri"/>
        <family val="2"/>
      </rPr>
      <t>∞</t>
    </r>
    <r>
      <rPr>
        <sz val="11"/>
        <color theme="1"/>
        <rFont val="Calibri"/>
        <family val="2"/>
        <charset val="204"/>
      </rPr>
      <t>)</t>
    </r>
  </si>
  <si>
    <t>Сумма</t>
  </si>
  <si>
    <t>δ</t>
  </si>
  <si>
    <t>x</t>
  </si>
  <si>
    <t>Частоты  (ni)</t>
  </si>
  <si>
    <t>Ср.знач. Интервала (хi)</t>
  </si>
  <si>
    <t>Интервал изменения наблюдаемых значений</t>
  </si>
  <si>
    <t>(xi-x)^2*ni</t>
  </si>
  <si>
    <t>Pi=[Ф(Ui+1)-Ф(Ui)]</t>
  </si>
  <si>
    <t>npi</t>
  </si>
  <si>
    <t>(ni-npi)^2</t>
  </si>
  <si>
    <t>(ni-npi)^2/npi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</si>
</sst>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"/>
    <numFmt numFmtId="169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168" fontId="1" fillId="0" borderId="1" xfId="1" applyNumberFormat="1" applyBorder="1" applyAlignment="1">
      <alignment horizontal="center" vertical="center"/>
    </xf>
    <xf numFmtId="169" fontId="1" fillId="0" borderId="1" xfId="1" applyNumberFormat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P22" sqref="P22"/>
    </sheetView>
  </sheetViews>
  <sheetFormatPr defaultRowHeight="14.4" x14ac:dyDescent="0.3"/>
  <cols>
    <col min="8" max="8" width="10.6640625" customWidth="1"/>
    <col min="9" max="9" width="20.44140625" customWidth="1"/>
  </cols>
  <sheetData>
    <row r="1" spans="1:12" ht="43.2" x14ac:dyDescent="0.3">
      <c r="A1" s="2" t="s">
        <v>14</v>
      </c>
      <c r="B1" s="2"/>
      <c r="C1" s="3" t="s">
        <v>13</v>
      </c>
      <c r="D1" s="3" t="s">
        <v>12</v>
      </c>
      <c r="E1" s="3" t="s">
        <v>0</v>
      </c>
      <c r="F1" s="3" t="s">
        <v>15</v>
      </c>
      <c r="G1" s="3" t="s">
        <v>1</v>
      </c>
      <c r="H1" s="3" t="s">
        <v>2</v>
      </c>
      <c r="I1" s="3" t="s">
        <v>16</v>
      </c>
      <c r="J1" s="3" t="s">
        <v>17</v>
      </c>
      <c r="K1" s="3" t="s">
        <v>18</v>
      </c>
      <c r="L1" s="3" t="s">
        <v>19</v>
      </c>
    </row>
    <row r="2" spans="1:12" x14ac:dyDescent="0.3">
      <c r="A2" s="4">
        <v>190</v>
      </c>
      <c r="B2" s="4">
        <v>200</v>
      </c>
      <c r="C2" s="4">
        <v>195</v>
      </c>
      <c r="D2" s="4">
        <v>10</v>
      </c>
      <c r="E2" s="4">
        <f>C2*D2</f>
        <v>1950</v>
      </c>
      <c r="F2" s="4">
        <f>(C2-$B$9)^2*D2</f>
        <v>6760</v>
      </c>
      <c r="G2" s="5">
        <f>(A2-$B$9)/$B$10</f>
        <v>-2.5144320275268197</v>
      </c>
      <c r="H2" s="4" t="s">
        <v>3</v>
      </c>
      <c r="I2" s="6">
        <f>-0.4554+0.5</f>
        <v>4.4599999999999973E-2</v>
      </c>
      <c r="J2" s="7">
        <f>I2*$D$8</f>
        <v>8.9199999999999946</v>
      </c>
      <c r="K2" s="7">
        <f>(D2-J2)^2</f>
        <v>1.1664000000000116</v>
      </c>
      <c r="L2" s="5">
        <f>K2/J2</f>
        <v>0.13076233183856642</v>
      </c>
    </row>
    <row r="3" spans="1:12" x14ac:dyDescent="0.3">
      <c r="A3" s="4">
        <v>200</v>
      </c>
      <c r="B3" s="4">
        <v>210</v>
      </c>
      <c r="C3" s="4">
        <v>205</v>
      </c>
      <c r="D3" s="4">
        <v>26</v>
      </c>
      <c r="E3" s="4">
        <f t="shared" ref="E3:E7" si="0">C3*D3</f>
        <v>5330</v>
      </c>
      <c r="F3" s="4">
        <f>(C3-$B$9)^2*D3</f>
        <v>6656</v>
      </c>
      <c r="G3" s="5">
        <f>(A3-$B$9)/$B$10</f>
        <v>-1.7033249218730069</v>
      </c>
      <c r="H3" s="4" t="s">
        <v>4</v>
      </c>
      <c r="I3" s="6">
        <f>-0.3133+0.4554</f>
        <v>0.1421</v>
      </c>
      <c r="J3" s="7">
        <f t="shared" ref="J3:J7" si="1">I3*$D$8</f>
        <v>28.42</v>
      </c>
      <c r="K3" s="7">
        <f t="shared" ref="K3:K7" si="2">(D3-J3)^2</f>
        <v>5.8564000000000078</v>
      </c>
      <c r="L3" s="5">
        <f t="shared" ref="L3:L7" si="3">K3/J3</f>
        <v>0.20606615059817057</v>
      </c>
    </row>
    <row r="4" spans="1:12" x14ac:dyDescent="0.3">
      <c r="A4" s="4">
        <v>210</v>
      </c>
      <c r="B4" s="4">
        <v>220</v>
      </c>
      <c r="C4" s="4">
        <v>215</v>
      </c>
      <c r="D4" s="4">
        <v>56</v>
      </c>
      <c r="E4" s="4">
        <f t="shared" si="0"/>
        <v>12040</v>
      </c>
      <c r="F4" s="4">
        <f>(C4-$B$9)^2*D4</f>
        <v>2016</v>
      </c>
      <c r="G4" s="5">
        <f>(A4-$B$9)/$B$10</f>
        <v>-0.89221781621919405</v>
      </c>
      <c r="H4" s="4" t="s">
        <v>5</v>
      </c>
      <c r="I4" s="6">
        <f>-0.0319+0.3133</f>
        <v>0.28140000000000004</v>
      </c>
      <c r="J4" s="7">
        <f t="shared" si="1"/>
        <v>56.280000000000008</v>
      </c>
      <c r="K4" s="7">
        <f t="shared" si="2"/>
        <v>7.8400000000004619E-2</v>
      </c>
      <c r="L4" s="5">
        <f t="shared" si="3"/>
        <v>1.3930348258707286E-3</v>
      </c>
    </row>
    <row r="5" spans="1:12" x14ac:dyDescent="0.3">
      <c r="A5" s="4">
        <v>220</v>
      </c>
      <c r="B5" s="4">
        <v>230</v>
      </c>
      <c r="C5" s="4">
        <v>225</v>
      </c>
      <c r="D5" s="4">
        <v>64</v>
      </c>
      <c r="E5" s="4">
        <f t="shared" si="0"/>
        <v>14400</v>
      </c>
      <c r="F5" s="4">
        <f>(C5-$B$9)^2*D5</f>
        <v>1024</v>
      </c>
      <c r="G5" s="5">
        <f>(A5-$B$9)/$B$10</f>
        <v>-8.1110710565381272E-2</v>
      </c>
      <c r="H5" s="4" t="s">
        <v>6</v>
      </c>
      <c r="I5" s="6">
        <f>0.2673+0.0319</f>
        <v>0.29919999999999997</v>
      </c>
      <c r="J5" s="7">
        <f t="shared" si="1"/>
        <v>59.839999999999996</v>
      </c>
      <c r="K5" s="7">
        <f t="shared" si="2"/>
        <v>17.30560000000003</v>
      </c>
      <c r="L5" s="5">
        <f t="shared" si="3"/>
        <v>0.28919786096256739</v>
      </c>
    </row>
    <row r="6" spans="1:12" x14ac:dyDescent="0.3">
      <c r="A6" s="4">
        <v>230</v>
      </c>
      <c r="B6" s="4">
        <v>240</v>
      </c>
      <c r="C6" s="4">
        <v>235</v>
      </c>
      <c r="D6" s="4">
        <v>30</v>
      </c>
      <c r="E6" s="4">
        <f t="shared" si="0"/>
        <v>7050</v>
      </c>
      <c r="F6" s="4">
        <f>(C6-$B$9)^2*D6</f>
        <v>5880</v>
      </c>
      <c r="G6" s="5">
        <f>(A6-$B$9)/$B$10</f>
        <v>0.7299963950884315</v>
      </c>
      <c r="H6" s="4" t="s">
        <v>7</v>
      </c>
      <c r="I6" s="6">
        <f>0.4382-0.2673</f>
        <v>0.1709</v>
      </c>
      <c r="J6" s="7">
        <f t="shared" si="1"/>
        <v>34.18</v>
      </c>
      <c r="K6" s="7">
        <f t="shared" si="2"/>
        <v>17.472399999999997</v>
      </c>
      <c r="L6" s="5">
        <f t="shared" si="3"/>
        <v>0.51118782913984773</v>
      </c>
    </row>
    <row r="7" spans="1:12" x14ac:dyDescent="0.3">
      <c r="A7" s="4">
        <v>240</v>
      </c>
      <c r="B7" s="4">
        <v>250</v>
      </c>
      <c r="C7" s="4">
        <v>245</v>
      </c>
      <c r="D7" s="4">
        <v>14</v>
      </c>
      <c r="E7" s="4">
        <f t="shared" si="0"/>
        <v>3430</v>
      </c>
      <c r="F7" s="4">
        <f>(C7-$B$9)^2*D7</f>
        <v>8064</v>
      </c>
      <c r="G7" s="5">
        <f>(A7-$B$9)/$B$10</f>
        <v>1.5411035007422442</v>
      </c>
      <c r="H7" s="4" t="s">
        <v>8</v>
      </c>
      <c r="I7" s="6">
        <f>0.5-0.4382</f>
        <v>6.1800000000000022E-2</v>
      </c>
      <c r="J7" s="7">
        <f t="shared" si="1"/>
        <v>12.360000000000005</v>
      </c>
      <c r="K7" s="7">
        <f t="shared" si="2"/>
        <v>2.6895999999999844</v>
      </c>
      <c r="L7" s="5">
        <f t="shared" si="3"/>
        <v>0.21760517799352616</v>
      </c>
    </row>
    <row r="8" spans="1:12" x14ac:dyDescent="0.3">
      <c r="A8" s="8" t="s">
        <v>9</v>
      </c>
      <c r="B8" s="8"/>
      <c r="C8" s="4">
        <f>SUM(C2:C7)</f>
        <v>1320</v>
      </c>
      <c r="D8" s="4">
        <f t="shared" ref="D8:L8" si="4">SUM(D2:D7)</f>
        <v>200</v>
      </c>
      <c r="E8" s="4">
        <f t="shared" si="4"/>
        <v>44200</v>
      </c>
      <c r="F8" s="4">
        <f t="shared" si="4"/>
        <v>30400</v>
      </c>
      <c r="G8" s="4">
        <f t="shared" si="4"/>
        <v>-2.9199855803537269</v>
      </c>
      <c r="H8" s="4">
        <f t="shared" si="4"/>
        <v>0</v>
      </c>
      <c r="I8" s="4">
        <f t="shared" si="4"/>
        <v>1</v>
      </c>
      <c r="J8" s="4">
        <f t="shared" si="4"/>
        <v>200.00000000000003</v>
      </c>
      <c r="K8" s="4">
        <f t="shared" si="4"/>
        <v>44.568800000000039</v>
      </c>
      <c r="L8" s="4">
        <f t="shared" si="4"/>
        <v>1.356212385358549</v>
      </c>
    </row>
    <row r="9" spans="1:12" x14ac:dyDescent="0.3">
      <c r="A9" s="9" t="s">
        <v>11</v>
      </c>
      <c r="B9" s="4">
        <v>221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A10" s="11" t="s">
        <v>10</v>
      </c>
      <c r="B10" s="5">
        <v>12.328828005937952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3"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mergeCells count="2">
    <mergeCell ref="A1:B1"/>
    <mergeCell ref="A8:B8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2024-03-13T14:51:48Z</dcterms:modified>
</cp:coreProperties>
</file>