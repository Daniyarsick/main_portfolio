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an\OneDrive\Рабочий стол\"/>
    </mc:Choice>
  </mc:AlternateContent>
  <bookViews>
    <workbookView xWindow="0" yWindow="0" windowWidth="28800" windowHeight="11865" activeTab="1"/>
  </bookViews>
  <sheets>
    <sheet name="Задание 1" sheetId="1" r:id="rId1"/>
    <sheet name="Задание 2" sheetId="2" r:id="rId2"/>
    <sheet name="Задания 3" sheetId="5" r:id="rId3"/>
    <sheet name="Задание3.2" sheetId="6" r:id="rId4"/>
    <sheet name="Лист4" sheetId="4" state="hidden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F3" i="6"/>
  <c r="G3" i="6"/>
  <c r="H3" i="6"/>
  <c r="I3" i="6"/>
  <c r="J3" i="6"/>
  <c r="K3" i="6"/>
  <c r="L3" i="6"/>
  <c r="M3" i="6"/>
  <c r="N3" i="6"/>
  <c r="O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C2" i="6"/>
  <c r="D2" i="6"/>
  <c r="E2" i="6"/>
  <c r="F2" i="6"/>
  <c r="G2" i="6"/>
  <c r="H2" i="6"/>
  <c r="I2" i="6"/>
  <c r="J2" i="6"/>
  <c r="K2" i="6"/>
  <c r="L2" i="6"/>
  <c r="M2" i="6"/>
  <c r="N2" i="6"/>
  <c r="O2" i="6"/>
  <c r="B2" i="6"/>
  <c r="B2" i="5"/>
  <c r="B3" i="5"/>
  <c r="C3" i="5"/>
  <c r="D3" i="5"/>
  <c r="E3" i="5"/>
  <c r="F3" i="5"/>
  <c r="G3" i="5"/>
  <c r="H3" i="5"/>
  <c r="I3" i="5"/>
  <c r="J3" i="5"/>
  <c r="K3" i="5"/>
  <c r="L3" i="5"/>
  <c r="B4" i="5"/>
  <c r="C4" i="5"/>
  <c r="D4" i="5"/>
  <c r="E4" i="5"/>
  <c r="F4" i="5"/>
  <c r="G4" i="5"/>
  <c r="H4" i="5"/>
  <c r="I4" i="5"/>
  <c r="J4" i="5"/>
  <c r="K4" i="5"/>
  <c r="L4" i="5"/>
  <c r="B5" i="5"/>
  <c r="C5" i="5"/>
  <c r="D5" i="5"/>
  <c r="E5" i="5"/>
  <c r="F5" i="5"/>
  <c r="G5" i="5"/>
  <c r="H5" i="5"/>
  <c r="I5" i="5"/>
  <c r="J5" i="5"/>
  <c r="K5" i="5"/>
  <c r="L5" i="5"/>
  <c r="B6" i="5"/>
  <c r="C6" i="5"/>
  <c r="D6" i="5"/>
  <c r="E6" i="5"/>
  <c r="F6" i="5"/>
  <c r="G6" i="5"/>
  <c r="H6" i="5"/>
  <c r="I6" i="5"/>
  <c r="J6" i="5"/>
  <c r="K6" i="5"/>
  <c r="L6" i="5"/>
  <c r="B7" i="5"/>
  <c r="C7" i="5"/>
  <c r="D7" i="5"/>
  <c r="E7" i="5"/>
  <c r="F7" i="5"/>
  <c r="G7" i="5"/>
  <c r="H7" i="5"/>
  <c r="I7" i="5"/>
  <c r="J7" i="5"/>
  <c r="K7" i="5"/>
  <c r="L7" i="5"/>
  <c r="B8" i="5"/>
  <c r="C8" i="5"/>
  <c r="D8" i="5"/>
  <c r="E8" i="5"/>
  <c r="F8" i="5"/>
  <c r="G8" i="5"/>
  <c r="H8" i="5"/>
  <c r="I8" i="5"/>
  <c r="J8" i="5"/>
  <c r="K8" i="5"/>
  <c r="L8" i="5"/>
  <c r="B9" i="5"/>
  <c r="C9" i="5"/>
  <c r="D9" i="5"/>
  <c r="E9" i="5"/>
  <c r="F9" i="5"/>
  <c r="G9" i="5"/>
  <c r="H9" i="5"/>
  <c r="I9" i="5"/>
  <c r="J9" i="5"/>
  <c r="K9" i="5"/>
  <c r="L9" i="5"/>
  <c r="B10" i="5"/>
  <c r="C10" i="5"/>
  <c r="D10" i="5"/>
  <c r="E10" i="5"/>
  <c r="F10" i="5"/>
  <c r="G10" i="5"/>
  <c r="H10" i="5"/>
  <c r="I10" i="5"/>
  <c r="J10" i="5"/>
  <c r="K10" i="5"/>
  <c r="L10" i="5"/>
  <c r="B11" i="5"/>
  <c r="C11" i="5"/>
  <c r="D11" i="5"/>
  <c r="E11" i="5"/>
  <c r="F11" i="5"/>
  <c r="G11" i="5"/>
  <c r="H11" i="5"/>
  <c r="I11" i="5"/>
  <c r="J11" i="5"/>
  <c r="K11" i="5"/>
  <c r="L11" i="5"/>
  <c r="B12" i="5"/>
  <c r="C12" i="5"/>
  <c r="D12" i="5"/>
  <c r="E12" i="5"/>
  <c r="F12" i="5"/>
  <c r="G12" i="5"/>
  <c r="H12" i="5"/>
  <c r="I12" i="5"/>
  <c r="J12" i="5"/>
  <c r="K12" i="5"/>
  <c r="L12" i="5"/>
  <c r="C2" i="5"/>
  <c r="D2" i="5"/>
  <c r="E2" i="5"/>
  <c r="F2" i="5"/>
  <c r="G2" i="5"/>
  <c r="H2" i="5"/>
  <c r="I2" i="5"/>
  <c r="J2" i="5"/>
  <c r="K2" i="5"/>
  <c r="L2" i="5"/>
  <c r="C78" i="2"/>
  <c r="D78" i="2"/>
  <c r="E78" i="2"/>
  <c r="F78" i="2"/>
  <c r="G78" i="2"/>
  <c r="H78" i="2"/>
  <c r="I78" i="2"/>
  <c r="J78" i="2"/>
  <c r="K78" i="2"/>
  <c r="B78" i="2"/>
  <c r="C63" i="2"/>
  <c r="D63" i="2"/>
  <c r="E63" i="2"/>
  <c r="F63" i="2"/>
  <c r="G63" i="2"/>
  <c r="H63" i="2"/>
  <c r="I63" i="2"/>
  <c r="J63" i="2"/>
  <c r="K63" i="2"/>
  <c r="L63" i="2"/>
  <c r="M63" i="2"/>
  <c r="B63" i="2"/>
  <c r="C48" i="2"/>
  <c r="D48" i="2"/>
  <c r="E48" i="2"/>
  <c r="F48" i="2"/>
  <c r="G48" i="2"/>
  <c r="H48" i="2"/>
  <c r="I48" i="2"/>
  <c r="K48" i="2"/>
  <c r="L48" i="2"/>
  <c r="M48" i="2"/>
  <c r="N48" i="2"/>
  <c r="O48" i="2"/>
  <c r="P48" i="2"/>
  <c r="Q48" i="2"/>
  <c r="R48" i="2"/>
  <c r="B48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K17" i="2"/>
  <c r="J17" i="2"/>
  <c r="I17" i="2"/>
  <c r="H17" i="2"/>
  <c r="G17" i="2"/>
  <c r="F17" i="2"/>
  <c r="E17" i="2"/>
  <c r="D17" i="2"/>
  <c r="C17" i="2"/>
  <c r="B17" i="2"/>
  <c r="C2" i="4"/>
  <c r="D2" i="4"/>
  <c r="E2" i="4"/>
  <c r="F2" i="4"/>
  <c r="G2" i="4"/>
  <c r="H2" i="4"/>
  <c r="I2" i="4"/>
  <c r="J2" i="4"/>
  <c r="K2" i="4"/>
  <c r="L2" i="4"/>
  <c r="M2" i="4"/>
  <c r="N2" i="4"/>
  <c r="B2" i="4"/>
  <c r="I2" i="2"/>
  <c r="J2" i="2"/>
  <c r="K2" i="2"/>
  <c r="L2" i="2"/>
  <c r="M2" i="2"/>
  <c r="C2" i="2"/>
  <c r="D2" i="2"/>
  <c r="E2" i="2"/>
  <c r="F2" i="2"/>
  <c r="G2" i="2"/>
  <c r="H2" i="2"/>
  <c r="B2" i="2"/>
  <c r="C5" i="1"/>
  <c r="D5" i="1"/>
  <c r="E5" i="1"/>
  <c r="F5" i="1"/>
  <c r="G5" i="1"/>
  <c r="H5" i="1"/>
  <c r="B5" i="1"/>
</calcChain>
</file>

<file path=xl/sharedStrings.xml><?xml version="1.0" encoding="utf-8"?>
<sst xmlns="http://schemas.openxmlformats.org/spreadsheetml/2006/main" count="20" uniqueCount="5">
  <si>
    <t>k</t>
  </si>
  <si>
    <t>b</t>
  </si>
  <si>
    <t>x</t>
  </si>
  <si>
    <t>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</si>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</sst>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4"/>
      <color theme="1"/>
      <name val="Times New Roman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График</a:t>
            </a:r>
            <a:r>
              <a:rPr lang="ru-RU" b="1" baseline="0"/>
              <a:t> функции </a:t>
            </a:r>
            <a:r>
              <a:rPr lang="en-US" b="1" baseline="0"/>
              <a:t>y = kx+b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1'!$A$5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1'!$B$4:$H$4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1'!$B$5:$H$5</c:f>
              <c:numCache>
                <c:formatCode>General</c:formatCode>
                <c:ptCount val="7"/>
                <c:pt idx="0">
                  <c:v>-7</c:v>
                </c:pt>
                <c:pt idx="1">
                  <c:v>-3</c:v>
                </c:pt>
                <c:pt idx="2">
                  <c:v>1</c:v>
                </c:pt>
                <c:pt idx="3">
                  <c:v>5</c:v>
                </c:pt>
                <c:pt idx="4">
                  <c:v>9</c:v>
                </c:pt>
                <c:pt idx="5">
                  <c:v>13</c:v>
                </c:pt>
                <c:pt idx="6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63-4D9A-B2C2-8132EF390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805247"/>
        <c:axId val="740795679"/>
      </c:scatterChart>
      <c:valAx>
        <c:axId val="74080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x</a:t>
                </a:r>
              </a:p>
            </c:rich>
          </c:tx>
          <c:layout>
            <c:manualLayout>
              <c:xMode val="edge"/>
              <c:yMode val="edge"/>
              <c:x val="0.96241994750656168"/>
              <c:y val="0.58291666666666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0795679"/>
        <c:crosses val="autoZero"/>
        <c:crossBetween val="midCat"/>
      </c:valAx>
      <c:valAx>
        <c:axId val="7407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5444444444444444"/>
              <c:y val="0.16520815106445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080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График функции </a:t>
            </a:r>
            <a:r>
              <a:rPr lang="en-US" sz="1400" b="1" i="0" u="none" strike="noStrike" baseline="0">
                <a:effectLst/>
              </a:rPr>
              <a:t>y = 2^x+3</a:t>
            </a:r>
            <a:endParaRPr lang="ru-RU" b="1"/>
          </a:p>
        </c:rich>
      </c:tx>
      <c:layout>
        <c:manualLayout>
          <c:xMode val="edge"/>
          <c:yMode val="edge"/>
          <c:x val="0.326902668416447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2'!$B$1:$M$1</c:f>
              <c:numCache>
                <c:formatCode>General</c:formatCode>
                <c:ptCount val="12"/>
                <c:pt idx="0">
                  <c:v>-5</c:v>
                </c:pt>
                <c:pt idx="1">
                  <c:v>-3</c:v>
                </c:pt>
                <c:pt idx="2">
                  <c:v>-1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15</c:v>
                </c:pt>
                <c:pt idx="11">
                  <c:v>17</c:v>
                </c:pt>
              </c:numCache>
            </c:numRef>
          </c:xVal>
          <c:yVal>
            <c:numRef>
              <c:f>'Задание 2'!$B$2:$M$2</c:f>
              <c:numCache>
                <c:formatCode>General</c:formatCode>
                <c:ptCount val="12"/>
                <c:pt idx="0">
                  <c:v>3.03125</c:v>
                </c:pt>
                <c:pt idx="1">
                  <c:v>3.125</c:v>
                </c:pt>
                <c:pt idx="2">
                  <c:v>3.5</c:v>
                </c:pt>
                <c:pt idx="3">
                  <c:v>5</c:v>
                </c:pt>
                <c:pt idx="4">
                  <c:v>11</c:v>
                </c:pt>
                <c:pt idx="5">
                  <c:v>35</c:v>
                </c:pt>
                <c:pt idx="6">
                  <c:v>131</c:v>
                </c:pt>
                <c:pt idx="7">
                  <c:v>515</c:v>
                </c:pt>
                <c:pt idx="8">
                  <c:v>2051</c:v>
                </c:pt>
                <c:pt idx="9">
                  <c:v>8195</c:v>
                </c:pt>
                <c:pt idx="10">
                  <c:v>32771</c:v>
                </c:pt>
                <c:pt idx="11">
                  <c:v>131075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85-4423-A2B9-706A9F08E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69679"/>
        <c:axId val="746376335"/>
      </c:scatterChart>
      <c:valAx>
        <c:axId val="74636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/>
                  <a:t>Х</a:t>
                </a:r>
                <a:endParaRPr lang="ru-RU" b="1"/>
              </a:p>
            </c:rich>
          </c:tx>
          <c:layout>
            <c:manualLayout>
              <c:xMode val="edge"/>
              <c:yMode val="edge"/>
              <c:x val="0.96064916885389307"/>
              <c:y val="0.754212962962962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76335"/>
        <c:crosses val="autoZero"/>
        <c:crossBetween val="midCat"/>
      </c:valAx>
      <c:valAx>
        <c:axId val="7463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38055555555555554"/>
              <c:y val="0.14748067949839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6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 </a:t>
            </a:r>
            <a:r>
              <a:rPr lang="en-US" baseline="0"/>
              <a:t>y = 7 - |x|</a:t>
            </a:r>
            <a:endParaRPr lang="ru-RU"/>
          </a:p>
        </c:rich>
      </c:tx>
      <c:layout>
        <c:manualLayout>
          <c:xMode val="edge"/>
          <c:yMode val="edge"/>
          <c:x val="0.2594582239720035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Лист4!$B$1:$N$1</c:f>
              <c:numCache>
                <c:formatCode>General</c:formatCode>
                <c:ptCount val="13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</c:numCache>
            </c:numRef>
          </c:xVal>
          <c:yVal>
            <c:numRef>
              <c:f>Лист4!$B$2:$N$2</c:f>
              <c:numCache>
                <c:formatCode>General</c:formatCode>
                <c:ptCount val="13"/>
                <c:pt idx="0">
                  <c:v>-3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  <c:pt idx="4">
                  <c:v>-3</c:v>
                </c:pt>
                <c:pt idx="5">
                  <c:v>-8</c:v>
                </c:pt>
                <c:pt idx="6">
                  <c:v>-13</c:v>
                </c:pt>
                <c:pt idx="7">
                  <c:v>-18</c:v>
                </c:pt>
                <c:pt idx="8">
                  <c:v>-23</c:v>
                </c:pt>
                <c:pt idx="9">
                  <c:v>-28</c:v>
                </c:pt>
                <c:pt idx="10">
                  <c:v>-33</c:v>
                </c:pt>
                <c:pt idx="11">
                  <c:v>-38</c:v>
                </c:pt>
                <c:pt idx="12">
                  <c:v>-43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E8-4B66-9818-4A1C4F484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079567"/>
        <c:axId val="746081647"/>
      </c:scatterChart>
      <c:valAx>
        <c:axId val="74607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/>
                  <a:t>Х</a:t>
                </a:r>
              </a:p>
            </c:rich>
          </c:tx>
          <c:layout>
            <c:manualLayout>
              <c:xMode val="edge"/>
              <c:yMode val="edge"/>
              <c:x val="0.96064916885389307"/>
              <c:y val="0.22643518518518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081647"/>
        <c:crosses val="autoZero"/>
        <c:crossBetween val="midCat"/>
      </c:valAx>
      <c:valAx>
        <c:axId val="7460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30555555555555558"/>
              <c:y val="0.10164333624963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07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 </a:t>
            </a:r>
            <a:r>
              <a:rPr lang="en-US" baseline="0"/>
              <a:t>y = </a:t>
            </a:r>
            <a:r>
              <a:rPr lang="ru-RU" sz="1400" b="0" i="0" u="none" strike="noStrike" baseline="0">
                <a:effectLst/>
              </a:rPr>
              <a:t>√</a:t>
            </a:r>
            <a:r>
              <a:rPr lang="en-US" sz="1400" b="0" i="0" u="none" strike="noStrike" baseline="0">
                <a:effectLst/>
              </a:rPr>
              <a:t>x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2'!$B$16:$K$16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17</c:v>
                </c:pt>
                <c:pt idx="7">
                  <c:v>20</c:v>
                </c:pt>
                <c:pt idx="8">
                  <c:v>23</c:v>
                </c:pt>
                <c:pt idx="9">
                  <c:v>26</c:v>
                </c:pt>
              </c:numCache>
            </c:numRef>
          </c:xVal>
          <c:yVal>
            <c:numRef>
              <c:f>'Задание 2'!$B$17:$K$17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3.3166247903553998</c:v>
                </c:pt>
                <c:pt idx="5">
                  <c:v>3.7416573867739413</c:v>
                </c:pt>
                <c:pt idx="6">
                  <c:v>4.1231056256176606</c:v>
                </c:pt>
                <c:pt idx="7">
                  <c:v>4.4721359549995796</c:v>
                </c:pt>
                <c:pt idx="8">
                  <c:v>4.7958315233127191</c:v>
                </c:pt>
                <c:pt idx="9">
                  <c:v>5.0990195135927845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AA-4B47-88A3-E76B0532F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44319"/>
        <c:axId val="926015119"/>
      </c:scatterChart>
      <c:valAx>
        <c:axId val="57524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/>
                  <a:t>Х</a:t>
                </a:r>
              </a:p>
            </c:rich>
          </c:tx>
          <c:layout>
            <c:manualLayout>
              <c:xMode val="edge"/>
              <c:yMode val="edge"/>
              <c:x val="0.96130424321959751"/>
              <c:y val="0.74495370370370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015119"/>
        <c:crosses val="autoZero"/>
        <c:crossBetween val="midCat"/>
      </c:valAx>
      <c:valAx>
        <c:axId val="92601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8.3333333333333329E-2"/>
              <c:y val="6.05731087411541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24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 </a:t>
            </a:r>
            <a:r>
              <a:rPr lang="en-US" baseline="0"/>
              <a:t>y = 1/x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2'!$B$47:$R$47</c:f>
              <c:numCache>
                <c:formatCode>General</c:formatCode>
                <c:ptCount val="17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-0.75</c:v>
                </c:pt>
                <c:pt idx="6">
                  <c:v>-0.5</c:v>
                </c:pt>
                <c:pt idx="7">
                  <c:v>-0.25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1.25</c:v>
                </c:pt>
                <c:pt idx="13">
                  <c:v>1.5</c:v>
                </c:pt>
                <c:pt idx="14">
                  <c:v>1.75</c:v>
                </c:pt>
                <c:pt idx="15">
                  <c:v>2</c:v>
                </c:pt>
                <c:pt idx="16">
                  <c:v>2.25</c:v>
                </c:pt>
              </c:numCache>
            </c:numRef>
          </c:xVal>
          <c:yVal>
            <c:numRef>
              <c:f>'Задание 2'!$B$48:$R$48</c:f>
              <c:numCache>
                <c:formatCode>General</c:formatCode>
                <c:ptCount val="17"/>
                <c:pt idx="0">
                  <c:v>-0.2</c:v>
                </c:pt>
                <c:pt idx="1">
                  <c:v>-0.25</c:v>
                </c:pt>
                <c:pt idx="2">
                  <c:v>-0.33333333333333331</c:v>
                </c:pt>
                <c:pt idx="3">
                  <c:v>-0.5</c:v>
                </c:pt>
                <c:pt idx="4">
                  <c:v>-1</c:v>
                </c:pt>
                <c:pt idx="5">
                  <c:v>-1.3333333333333333</c:v>
                </c:pt>
                <c:pt idx="6">
                  <c:v>-2</c:v>
                </c:pt>
                <c:pt idx="7">
                  <c:v>-4</c:v>
                </c:pt>
                <c:pt idx="9">
                  <c:v>2</c:v>
                </c:pt>
                <c:pt idx="10">
                  <c:v>1.3333333333333333</c:v>
                </c:pt>
                <c:pt idx="11">
                  <c:v>1</c:v>
                </c:pt>
                <c:pt idx="12">
                  <c:v>0.8</c:v>
                </c:pt>
                <c:pt idx="13">
                  <c:v>0.66666666666666663</c:v>
                </c:pt>
                <c:pt idx="14">
                  <c:v>0.5714285714285714</c:v>
                </c:pt>
                <c:pt idx="15">
                  <c:v>0.5</c:v>
                </c:pt>
                <c:pt idx="16">
                  <c:v>0.44444444444444442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CA-4147-BE61-A424625DA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75087"/>
        <c:axId val="746358031"/>
      </c:scatterChart>
      <c:valAx>
        <c:axId val="74637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/>
                  <a:t>Х</a:t>
                </a:r>
              </a:p>
            </c:rich>
          </c:tx>
          <c:layout>
            <c:manualLayout>
              <c:xMode val="edge"/>
              <c:yMode val="edge"/>
              <c:x val="0.96064916885389307"/>
              <c:y val="0.513472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58031"/>
        <c:crosses val="autoZero"/>
        <c:crossBetween val="midCat"/>
      </c:valAx>
      <c:valAx>
        <c:axId val="74635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59444444444444444"/>
              <c:y val="0.14793963254593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7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 </a:t>
            </a:r>
            <a:r>
              <a:rPr lang="en-US" baseline="0"/>
              <a:t>y = ln(x)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2'!$B$62:$M$62</c:f>
              <c:numCache>
                <c:formatCode>General</c:formatCode>
                <c:ptCount val="12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</c:numCache>
            </c:numRef>
          </c:xVal>
          <c:yVal>
            <c:numRef>
              <c:f>'Задание 2'!$B$63:$M$63</c:f>
              <c:numCache>
                <c:formatCode>General</c:formatCode>
                <c:ptCount val="12"/>
                <c:pt idx="0">
                  <c:v>-1.3862943611198906</c:v>
                </c:pt>
                <c:pt idx="1">
                  <c:v>-0.69314718055994529</c:v>
                </c:pt>
                <c:pt idx="2">
                  <c:v>-0.2876820724517809</c:v>
                </c:pt>
                <c:pt idx="3">
                  <c:v>0</c:v>
                </c:pt>
                <c:pt idx="4">
                  <c:v>0.22314355131420976</c:v>
                </c:pt>
                <c:pt idx="5">
                  <c:v>0.40546510810816438</c:v>
                </c:pt>
                <c:pt idx="6">
                  <c:v>0.55961578793542266</c:v>
                </c:pt>
                <c:pt idx="7">
                  <c:v>0.69314718055994529</c:v>
                </c:pt>
                <c:pt idx="8">
                  <c:v>0.81093021621632877</c:v>
                </c:pt>
                <c:pt idx="9">
                  <c:v>0.91629073187415511</c:v>
                </c:pt>
                <c:pt idx="10">
                  <c:v>1.0116009116784799</c:v>
                </c:pt>
                <c:pt idx="11">
                  <c:v>1.0986122886681098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F3-49DA-9FE6-712CF723E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087567"/>
        <c:axId val="570085487"/>
      </c:scatterChart>
      <c:valAx>
        <c:axId val="57008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/>
                  <a:t>Х</a:t>
                </a:r>
              </a:p>
            </c:rich>
          </c:tx>
          <c:layout>
            <c:manualLayout>
              <c:xMode val="edge"/>
              <c:yMode val="edge"/>
              <c:x val="0.96191207349081365"/>
              <c:y val="0.41625000000000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085487"/>
        <c:crosses val="autoZero"/>
        <c:crossBetween val="midCat"/>
      </c:valAx>
      <c:valAx>
        <c:axId val="57008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11666666666666667"/>
              <c:y val="6.460629921259843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08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 </a:t>
            </a:r>
            <a:r>
              <a:rPr lang="en-US" baseline="0"/>
              <a:t>y= ln(x)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2'!$B$77:$K$77</c:f>
              <c:numCache>
                <c:formatCode>General</c:formatCode>
                <c:ptCount val="1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</c:numCache>
            </c:numRef>
          </c:xVal>
          <c:yVal>
            <c:numRef>
              <c:f>'Задание 2'!$B$78:$K$78</c:f>
              <c:numCache>
                <c:formatCode>General</c:formatCode>
                <c:ptCount val="10"/>
                <c:pt idx="0">
                  <c:v>1.6094379124341003</c:v>
                </c:pt>
                <c:pt idx="1">
                  <c:v>1.6094379124341003</c:v>
                </c:pt>
                <c:pt idx="2">
                  <c:v>1.6094379124341003</c:v>
                </c:pt>
                <c:pt idx="3">
                  <c:v>1.6094379124341003</c:v>
                </c:pt>
                <c:pt idx="4">
                  <c:v>1.6094379124341003</c:v>
                </c:pt>
                <c:pt idx="5">
                  <c:v>1.6094379124341003</c:v>
                </c:pt>
                <c:pt idx="6">
                  <c:v>1.6094379124341003</c:v>
                </c:pt>
                <c:pt idx="7">
                  <c:v>1.6094379124341003</c:v>
                </c:pt>
                <c:pt idx="8">
                  <c:v>1.6094379124341003</c:v>
                </c:pt>
                <c:pt idx="9">
                  <c:v>1.6094379124341003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98-48DE-9E1E-49548EC6E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101215"/>
        <c:axId val="739099135"/>
      </c:scatterChart>
      <c:valAx>
        <c:axId val="73910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4.1193132108486449E-2"/>
              <c:y val="4.12499999999999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099135"/>
        <c:crosses val="autoZero"/>
        <c:crossBetween val="midCat"/>
      </c:valAx>
      <c:valAx>
        <c:axId val="7390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X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96111111111111114"/>
              <c:y val="0.721554753572470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10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4803149606299213" l="0.70866141732283472" r="0.70866141732283472" t="0.74803149606299213" header="0.31496062992125984" footer="0.31496062992125984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Гиперболический параболоид</a:t>
            </a:r>
            <a:r>
              <a:rPr lang="ru-RU" b="1" baseline="0"/>
              <a:t> 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'Задания 3'!$A$2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3'!$B$2:$L$2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3-45A3-9E7C-DFE68336AD2B}"/>
            </c:ext>
          </c:extLst>
        </c:ser>
        <c:ser>
          <c:idx val="1"/>
          <c:order val="1"/>
          <c:tx>
            <c:strRef>
              <c:f>'Задания 3'!$A$3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3'!$B$3:$L$3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3-45A3-9E7C-DFE68336AD2B}"/>
            </c:ext>
          </c:extLst>
        </c:ser>
        <c:ser>
          <c:idx val="2"/>
          <c:order val="2"/>
          <c:tx>
            <c:strRef>
              <c:f>'Задания 3'!$A$4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3'!$B$4:$L$4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3-45A3-9E7C-DFE68336AD2B}"/>
            </c:ext>
          </c:extLst>
        </c:ser>
        <c:ser>
          <c:idx val="3"/>
          <c:order val="3"/>
          <c:tx>
            <c:strRef>
              <c:f>'Задания 3'!$A$5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3'!$B$5:$L$5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B3-45A3-9E7C-DFE68336AD2B}"/>
            </c:ext>
          </c:extLst>
        </c:ser>
        <c:ser>
          <c:idx val="4"/>
          <c:order val="4"/>
          <c:tx>
            <c:strRef>
              <c:f>'Задания 3'!$A$6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3'!$B$6:$L$6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B3-45A3-9E7C-DFE68336AD2B}"/>
            </c:ext>
          </c:extLst>
        </c:ser>
        <c:ser>
          <c:idx val="5"/>
          <c:order val="5"/>
          <c:tx>
            <c:strRef>
              <c:f>'Задания 3'!$A$7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B3-45A3-9E7C-DFE68336AD2B}"/>
            </c:ext>
          </c:extLst>
        </c:ser>
        <c:ser>
          <c:idx val="6"/>
          <c:order val="6"/>
          <c:tx>
            <c:strRef>
              <c:f>'Задания 3'!$A$8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3'!$B$8:$L$8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B3-45A3-9E7C-DFE68336AD2B}"/>
            </c:ext>
          </c:extLst>
        </c:ser>
        <c:ser>
          <c:idx val="7"/>
          <c:order val="7"/>
          <c:tx>
            <c:strRef>
              <c:f>'Задания 3'!$A$9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3'!$B$9:$L$9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B3-45A3-9E7C-DFE68336AD2B}"/>
            </c:ext>
          </c:extLst>
        </c:ser>
        <c:ser>
          <c:idx val="8"/>
          <c:order val="8"/>
          <c:tx>
            <c:strRef>
              <c:f>'Задания 3'!$A$10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3'!$B$10:$L$10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B3-45A3-9E7C-DFE68336AD2B}"/>
            </c:ext>
          </c:extLst>
        </c:ser>
        <c:ser>
          <c:idx val="9"/>
          <c:order val="9"/>
          <c:tx>
            <c:strRef>
              <c:f>'Задания 3'!$A$11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3'!$B$11:$L$11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B3-45A3-9E7C-DFE68336AD2B}"/>
            </c:ext>
          </c:extLst>
        </c:ser>
        <c:ser>
          <c:idx val="10"/>
          <c:order val="10"/>
          <c:tx>
            <c:strRef>
              <c:f>'Задания 3'!$A$12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'Задания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'Задания 3'!$B$12:$L$12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B3-45A3-9E7C-DFE68336AD2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923170415"/>
        <c:axId val="923170831"/>
        <c:axId val="568076543"/>
      </c:surface3DChart>
      <c:catAx>
        <c:axId val="923170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3170831"/>
        <c:crosses val="autoZero"/>
        <c:auto val="1"/>
        <c:lblAlgn val="ctr"/>
        <c:lblOffset val="100"/>
        <c:noMultiLvlLbl val="0"/>
      </c:catAx>
      <c:valAx>
        <c:axId val="92317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3170415"/>
        <c:crosses val="autoZero"/>
        <c:crossBetween val="midCat"/>
      </c:valAx>
      <c:serAx>
        <c:axId val="5680765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317083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Гиперболический параболоид 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Задание3.2!$B$1</c:f>
              <c:strCache>
                <c:ptCount val="1"/>
                <c:pt idx="0">
                  <c:v>-7,5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Задание3.2!$B$2:$B$21</c:f>
              <c:numCache>
                <c:formatCode>General</c:formatCode>
                <c:ptCount val="20"/>
                <c:pt idx="0">
                  <c:v>-1.6260162601626018</c:v>
                </c:pt>
                <c:pt idx="1">
                  <c:v>-0.87601626016260159</c:v>
                </c:pt>
                <c:pt idx="2">
                  <c:v>-0.29268292682926828</c:v>
                </c:pt>
                <c:pt idx="3">
                  <c:v>0.12398373983739841</c:v>
                </c:pt>
                <c:pt idx="4">
                  <c:v>0.37398373983739841</c:v>
                </c:pt>
                <c:pt idx="5">
                  <c:v>0.45731707317073172</c:v>
                </c:pt>
                <c:pt idx="6">
                  <c:v>0.37398373983739841</c:v>
                </c:pt>
                <c:pt idx="7">
                  <c:v>0.12398373983739841</c:v>
                </c:pt>
                <c:pt idx="8">
                  <c:v>-0.29268292682926828</c:v>
                </c:pt>
                <c:pt idx="9">
                  <c:v>-0.87601626016260159</c:v>
                </c:pt>
                <c:pt idx="10">
                  <c:v>-1.6260162601626018</c:v>
                </c:pt>
                <c:pt idx="11">
                  <c:v>-2.5426829268292681</c:v>
                </c:pt>
                <c:pt idx="12">
                  <c:v>-3.6260162601626011</c:v>
                </c:pt>
                <c:pt idx="13">
                  <c:v>-4.8760162601626016</c:v>
                </c:pt>
                <c:pt idx="14">
                  <c:v>-6.2926829268292686</c:v>
                </c:pt>
                <c:pt idx="15">
                  <c:v>-7.8760162601626025</c:v>
                </c:pt>
                <c:pt idx="16">
                  <c:v>-9.6260162601626025</c:v>
                </c:pt>
                <c:pt idx="17">
                  <c:v>-11.542682926829269</c:v>
                </c:pt>
                <c:pt idx="18">
                  <c:v>-13.626016260162602</c:v>
                </c:pt>
                <c:pt idx="19">
                  <c:v>-15.876016260162601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1-4057-9F2C-562A8CCDF652}"/>
            </c:ext>
          </c:extLst>
        </c:ser>
        <c:ser>
          <c:idx val="1"/>
          <c:order val="1"/>
          <c:tx>
            <c:strRef>
              <c:f>Задание3.2!$C$1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Задание3.2!$C$2:$C$21</c:f>
              <c:numCache>
                <c:formatCode>General</c:formatCode>
                <c:ptCount val="20"/>
                <c:pt idx="0">
                  <c:v>-1.7906504065040652</c:v>
                </c:pt>
                <c:pt idx="1">
                  <c:v>-1.0406504065040649</c:v>
                </c:pt>
                <c:pt idx="2">
                  <c:v>-0.45731707317073172</c:v>
                </c:pt>
                <c:pt idx="3">
                  <c:v>-4.065040650406504E-2</c:v>
                </c:pt>
                <c:pt idx="4">
                  <c:v>0.20934959349593496</c:v>
                </c:pt>
                <c:pt idx="5">
                  <c:v>0.29268292682926828</c:v>
                </c:pt>
                <c:pt idx="6">
                  <c:v>0.20934959349593496</c:v>
                </c:pt>
                <c:pt idx="7">
                  <c:v>-4.065040650406504E-2</c:v>
                </c:pt>
                <c:pt idx="8">
                  <c:v>-0.45731707317073172</c:v>
                </c:pt>
                <c:pt idx="9">
                  <c:v>-1.0406504065040649</c:v>
                </c:pt>
                <c:pt idx="10">
                  <c:v>-1.7906504065040652</c:v>
                </c:pt>
                <c:pt idx="11">
                  <c:v>-2.7073170731707319</c:v>
                </c:pt>
                <c:pt idx="12">
                  <c:v>-3.7906504065040649</c:v>
                </c:pt>
                <c:pt idx="13">
                  <c:v>-5.0406504065040645</c:v>
                </c:pt>
                <c:pt idx="14">
                  <c:v>-6.4573170731707314</c:v>
                </c:pt>
                <c:pt idx="15">
                  <c:v>-8.0406504065040654</c:v>
                </c:pt>
                <c:pt idx="16">
                  <c:v>-9.7906504065040654</c:v>
                </c:pt>
                <c:pt idx="17">
                  <c:v>-11.707317073170731</c:v>
                </c:pt>
                <c:pt idx="18">
                  <c:v>-13.790650406504065</c:v>
                </c:pt>
                <c:pt idx="19">
                  <c:v>-16.040650406504064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1-4057-9F2C-562A8CCDF652}"/>
            </c:ext>
          </c:extLst>
        </c:ser>
        <c:ser>
          <c:idx val="2"/>
          <c:order val="2"/>
          <c:tx>
            <c:strRef>
              <c:f>Задание3.2!$D$1</c:f>
              <c:strCache>
                <c:ptCount val="1"/>
                <c:pt idx="0">
                  <c:v>-4,5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Задание3.2!$D$2:$D$21</c:f>
              <c:numCache>
                <c:formatCode>General</c:formatCode>
                <c:ptCount val="20"/>
                <c:pt idx="0">
                  <c:v>-1.9186991869918701</c:v>
                </c:pt>
                <c:pt idx="1">
                  <c:v>-1.1686991869918699</c:v>
                </c:pt>
                <c:pt idx="2">
                  <c:v>-0.58536585365853655</c:v>
                </c:pt>
                <c:pt idx="3">
                  <c:v>-0.16869918699186989</c:v>
                </c:pt>
                <c:pt idx="4">
                  <c:v>8.1300813008130093E-2</c:v>
                </c:pt>
                <c:pt idx="5">
                  <c:v>0.16463414634146342</c:v>
                </c:pt>
                <c:pt idx="6">
                  <c:v>8.1300813008130093E-2</c:v>
                </c:pt>
                <c:pt idx="7">
                  <c:v>-0.16869918699186989</c:v>
                </c:pt>
                <c:pt idx="8">
                  <c:v>-0.58536585365853655</c:v>
                </c:pt>
                <c:pt idx="9">
                  <c:v>-1.1686991869918699</c:v>
                </c:pt>
                <c:pt idx="10">
                  <c:v>-1.9186991869918701</c:v>
                </c:pt>
                <c:pt idx="11">
                  <c:v>-2.8353658536585367</c:v>
                </c:pt>
                <c:pt idx="12">
                  <c:v>-3.9186991869918697</c:v>
                </c:pt>
                <c:pt idx="13">
                  <c:v>-5.1686991869918693</c:v>
                </c:pt>
                <c:pt idx="14">
                  <c:v>-6.5853658536585362</c:v>
                </c:pt>
                <c:pt idx="15">
                  <c:v>-8.168699186991871</c:v>
                </c:pt>
                <c:pt idx="16">
                  <c:v>-9.918699186991871</c:v>
                </c:pt>
                <c:pt idx="17">
                  <c:v>-11.835365853658537</c:v>
                </c:pt>
                <c:pt idx="18">
                  <c:v>-13.918699186991871</c:v>
                </c:pt>
                <c:pt idx="19">
                  <c:v>-16.168699186991869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71-4057-9F2C-562A8CCDF652}"/>
            </c:ext>
          </c:extLst>
        </c:ser>
        <c:ser>
          <c:idx val="3"/>
          <c:order val="3"/>
          <c:tx>
            <c:strRef>
              <c:f>Задание3.2!$E$1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Задание3.2!$E$2:$E$21</c:f>
              <c:numCache>
                <c:formatCode>General</c:formatCode>
                <c:ptCount val="20"/>
                <c:pt idx="0">
                  <c:v>-2.0101626016260163</c:v>
                </c:pt>
                <c:pt idx="1">
                  <c:v>-1.2601626016260161</c:v>
                </c:pt>
                <c:pt idx="2">
                  <c:v>-0.67682926829268297</c:v>
                </c:pt>
                <c:pt idx="3">
                  <c:v>-0.26016260162601623</c:v>
                </c:pt>
                <c:pt idx="4">
                  <c:v>-1.016260162601626E-2</c:v>
                </c:pt>
                <c:pt idx="5">
                  <c:v>7.3170731707317069E-2</c:v>
                </c:pt>
                <c:pt idx="6">
                  <c:v>-1.016260162601626E-2</c:v>
                </c:pt>
                <c:pt idx="7">
                  <c:v>-0.26016260162601623</c:v>
                </c:pt>
                <c:pt idx="8">
                  <c:v>-0.67682926829268297</c:v>
                </c:pt>
                <c:pt idx="9">
                  <c:v>-1.2601626016260161</c:v>
                </c:pt>
                <c:pt idx="10">
                  <c:v>-2.0101626016260163</c:v>
                </c:pt>
                <c:pt idx="11">
                  <c:v>-2.9268292682926829</c:v>
                </c:pt>
                <c:pt idx="12">
                  <c:v>-4.0101626016260159</c:v>
                </c:pt>
                <c:pt idx="13">
                  <c:v>-5.2601626016260159</c:v>
                </c:pt>
                <c:pt idx="14">
                  <c:v>-6.6768292682926829</c:v>
                </c:pt>
                <c:pt idx="15">
                  <c:v>-8.2601626016260177</c:v>
                </c:pt>
                <c:pt idx="16">
                  <c:v>-10.010162601626018</c:v>
                </c:pt>
                <c:pt idx="17">
                  <c:v>-11.926829268292684</c:v>
                </c:pt>
                <c:pt idx="18">
                  <c:v>-14.010162601626018</c:v>
                </c:pt>
                <c:pt idx="19">
                  <c:v>-16.260162601626014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71-4057-9F2C-562A8CCDF652}"/>
            </c:ext>
          </c:extLst>
        </c:ser>
        <c:ser>
          <c:idx val="4"/>
          <c:order val="4"/>
          <c:tx>
            <c:strRef>
              <c:f>Задание3.2!$F$1</c:f>
              <c:strCache>
                <c:ptCount val="1"/>
                <c:pt idx="0">
                  <c:v>-1,5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Задание3.2!$F$2:$F$21</c:f>
              <c:numCache>
                <c:formatCode>General</c:formatCode>
                <c:ptCount val="20"/>
                <c:pt idx="0">
                  <c:v>-2.0650406504065044</c:v>
                </c:pt>
                <c:pt idx="1">
                  <c:v>-1.315040650406504</c:v>
                </c:pt>
                <c:pt idx="2">
                  <c:v>-0.73170731707317072</c:v>
                </c:pt>
                <c:pt idx="3">
                  <c:v>-0.31504065040650403</c:v>
                </c:pt>
                <c:pt idx="4">
                  <c:v>-6.5040650406504058E-2</c:v>
                </c:pt>
                <c:pt idx="5">
                  <c:v>1.8292682926829267E-2</c:v>
                </c:pt>
                <c:pt idx="6">
                  <c:v>-6.5040650406504058E-2</c:v>
                </c:pt>
                <c:pt idx="7">
                  <c:v>-0.31504065040650403</c:v>
                </c:pt>
                <c:pt idx="8">
                  <c:v>-0.73170731707317072</c:v>
                </c:pt>
                <c:pt idx="9">
                  <c:v>-1.315040650406504</c:v>
                </c:pt>
                <c:pt idx="10">
                  <c:v>-2.0650406504065044</c:v>
                </c:pt>
                <c:pt idx="11">
                  <c:v>-2.9817073170731709</c:v>
                </c:pt>
                <c:pt idx="12">
                  <c:v>-4.0650406504065035</c:v>
                </c:pt>
                <c:pt idx="13">
                  <c:v>-5.3150406504065035</c:v>
                </c:pt>
                <c:pt idx="14">
                  <c:v>-6.7317073170731705</c:v>
                </c:pt>
                <c:pt idx="15">
                  <c:v>-8.3150406504065053</c:v>
                </c:pt>
                <c:pt idx="16">
                  <c:v>-10.065040650406505</c:v>
                </c:pt>
                <c:pt idx="17">
                  <c:v>-11.981707317073171</c:v>
                </c:pt>
                <c:pt idx="18">
                  <c:v>-14.065040650406505</c:v>
                </c:pt>
                <c:pt idx="19">
                  <c:v>-16.315040650406502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71-4057-9F2C-562A8CCDF652}"/>
            </c:ext>
          </c:extLst>
        </c:ser>
        <c:ser>
          <c:idx val="5"/>
          <c:order val="5"/>
          <c:tx>
            <c:strRef>
              <c:f>Задание3.2!$G$1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Задание3.2!$G$2:$G$21</c:f>
              <c:numCache>
                <c:formatCode>General</c:formatCode>
                <c:ptCount val="20"/>
                <c:pt idx="0">
                  <c:v>-2.0833333333333335</c:v>
                </c:pt>
                <c:pt idx="1">
                  <c:v>-1.3333333333333333</c:v>
                </c:pt>
                <c:pt idx="2">
                  <c:v>-0.75</c:v>
                </c:pt>
                <c:pt idx="3">
                  <c:v>-0.33333333333333331</c:v>
                </c:pt>
                <c:pt idx="4">
                  <c:v>-8.3333333333333329E-2</c:v>
                </c:pt>
                <c:pt idx="5">
                  <c:v>0</c:v>
                </c:pt>
                <c:pt idx="6">
                  <c:v>-8.3333333333333329E-2</c:v>
                </c:pt>
                <c:pt idx="7">
                  <c:v>-0.33333333333333331</c:v>
                </c:pt>
                <c:pt idx="8">
                  <c:v>-0.75</c:v>
                </c:pt>
                <c:pt idx="9">
                  <c:v>-1.3333333333333333</c:v>
                </c:pt>
                <c:pt idx="10">
                  <c:v>-2.0833333333333335</c:v>
                </c:pt>
                <c:pt idx="11">
                  <c:v>-3</c:v>
                </c:pt>
                <c:pt idx="12">
                  <c:v>-4.083333333333333</c:v>
                </c:pt>
                <c:pt idx="13">
                  <c:v>-5.333333333333333</c:v>
                </c:pt>
                <c:pt idx="14">
                  <c:v>-6.75</c:v>
                </c:pt>
                <c:pt idx="15">
                  <c:v>-8.3333333333333339</c:v>
                </c:pt>
                <c:pt idx="16">
                  <c:v>-10.083333333333334</c:v>
                </c:pt>
                <c:pt idx="17">
                  <c:v>-12</c:v>
                </c:pt>
                <c:pt idx="18">
                  <c:v>-14.083333333333334</c:v>
                </c:pt>
                <c:pt idx="19">
                  <c:v>-16.333333333333332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71-4057-9F2C-562A8CCDF652}"/>
            </c:ext>
          </c:extLst>
        </c:ser>
        <c:ser>
          <c:idx val="6"/>
          <c:order val="6"/>
          <c:tx>
            <c:strRef>
              <c:f>Задание3.2!$H$1</c:f>
              <c:strCache>
                <c:ptCount val="1"/>
                <c:pt idx="0">
                  <c:v>1,5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Задание3.2!$H$2:$H$21</c:f>
              <c:numCache>
                <c:formatCode>General</c:formatCode>
                <c:ptCount val="20"/>
                <c:pt idx="0">
                  <c:v>-2.0650406504065044</c:v>
                </c:pt>
                <c:pt idx="1">
                  <c:v>-1.315040650406504</c:v>
                </c:pt>
                <c:pt idx="2">
                  <c:v>-0.73170731707317072</c:v>
                </c:pt>
                <c:pt idx="3">
                  <c:v>-0.31504065040650403</c:v>
                </c:pt>
                <c:pt idx="4">
                  <c:v>-6.5040650406504058E-2</c:v>
                </c:pt>
                <c:pt idx="5">
                  <c:v>1.8292682926829267E-2</c:v>
                </c:pt>
                <c:pt idx="6">
                  <c:v>-6.5040650406504058E-2</c:v>
                </c:pt>
                <c:pt idx="7">
                  <c:v>-0.31504065040650403</c:v>
                </c:pt>
                <c:pt idx="8">
                  <c:v>-0.73170731707317072</c:v>
                </c:pt>
                <c:pt idx="9">
                  <c:v>-1.315040650406504</c:v>
                </c:pt>
                <c:pt idx="10">
                  <c:v>-2.0650406504065044</c:v>
                </c:pt>
                <c:pt idx="11">
                  <c:v>-2.9817073170731709</c:v>
                </c:pt>
                <c:pt idx="12">
                  <c:v>-4.0650406504065035</c:v>
                </c:pt>
                <c:pt idx="13">
                  <c:v>-5.3150406504065035</c:v>
                </c:pt>
                <c:pt idx="14">
                  <c:v>-6.7317073170731705</c:v>
                </c:pt>
                <c:pt idx="15">
                  <c:v>-8.3150406504065053</c:v>
                </c:pt>
                <c:pt idx="16">
                  <c:v>-10.065040650406505</c:v>
                </c:pt>
                <c:pt idx="17">
                  <c:v>-11.981707317073171</c:v>
                </c:pt>
                <c:pt idx="18">
                  <c:v>-14.065040650406505</c:v>
                </c:pt>
                <c:pt idx="19">
                  <c:v>-16.315040650406502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71-4057-9F2C-562A8CCDF652}"/>
            </c:ext>
          </c:extLst>
        </c:ser>
        <c:ser>
          <c:idx val="7"/>
          <c:order val="7"/>
          <c:tx>
            <c:strRef>
              <c:f>Задание3.2!$I$1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Задание3.2!$I$2:$I$21</c:f>
              <c:numCache>
                <c:formatCode>General</c:formatCode>
                <c:ptCount val="20"/>
                <c:pt idx="0">
                  <c:v>-2.0101626016260163</c:v>
                </c:pt>
                <c:pt idx="1">
                  <c:v>-1.2601626016260161</c:v>
                </c:pt>
                <c:pt idx="2">
                  <c:v>-0.67682926829268297</c:v>
                </c:pt>
                <c:pt idx="3">
                  <c:v>-0.26016260162601623</c:v>
                </c:pt>
                <c:pt idx="4">
                  <c:v>-1.016260162601626E-2</c:v>
                </c:pt>
                <c:pt idx="5">
                  <c:v>7.3170731707317069E-2</c:v>
                </c:pt>
                <c:pt idx="6">
                  <c:v>-1.016260162601626E-2</c:v>
                </c:pt>
                <c:pt idx="7">
                  <c:v>-0.26016260162601623</c:v>
                </c:pt>
                <c:pt idx="8">
                  <c:v>-0.67682926829268297</c:v>
                </c:pt>
                <c:pt idx="9">
                  <c:v>-1.2601626016260161</c:v>
                </c:pt>
                <c:pt idx="10">
                  <c:v>-2.0101626016260163</c:v>
                </c:pt>
                <c:pt idx="11">
                  <c:v>-2.9268292682926829</c:v>
                </c:pt>
                <c:pt idx="12">
                  <c:v>-4.0101626016260159</c:v>
                </c:pt>
                <c:pt idx="13">
                  <c:v>-5.2601626016260159</c:v>
                </c:pt>
                <c:pt idx="14">
                  <c:v>-6.6768292682926829</c:v>
                </c:pt>
                <c:pt idx="15">
                  <c:v>-8.2601626016260177</c:v>
                </c:pt>
                <c:pt idx="16">
                  <c:v>-10.010162601626018</c:v>
                </c:pt>
                <c:pt idx="17">
                  <c:v>-11.926829268292684</c:v>
                </c:pt>
                <c:pt idx="18">
                  <c:v>-14.010162601626018</c:v>
                </c:pt>
                <c:pt idx="19">
                  <c:v>-16.260162601626014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71-4057-9F2C-562A8CCDF652}"/>
            </c:ext>
          </c:extLst>
        </c:ser>
        <c:ser>
          <c:idx val="8"/>
          <c:order val="8"/>
          <c:tx>
            <c:strRef>
              <c:f>Задание3.2!$J$1</c:f>
              <c:strCache>
                <c:ptCount val="1"/>
                <c:pt idx="0">
                  <c:v>4,5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Задание3.2!$J$2:$J$21</c:f>
              <c:numCache>
                <c:formatCode>General</c:formatCode>
                <c:ptCount val="20"/>
                <c:pt idx="0">
                  <c:v>-1.9186991869918701</c:v>
                </c:pt>
                <c:pt idx="1">
                  <c:v>-1.1686991869918699</c:v>
                </c:pt>
                <c:pt idx="2">
                  <c:v>-0.58536585365853655</c:v>
                </c:pt>
                <c:pt idx="3">
                  <c:v>-0.16869918699186989</c:v>
                </c:pt>
                <c:pt idx="4">
                  <c:v>8.1300813008130093E-2</c:v>
                </c:pt>
                <c:pt idx="5">
                  <c:v>0.16463414634146342</c:v>
                </c:pt>
                <c:pt idx="6">
                  <c:v>8.1300813008130093E-2</c:v>
                </c:pt>
                <c:pt idx="7">
                  <c:v>-0.16869918699186989</c:v>
                </c:pt>
                <c:pt idx="8">
                  <c:v>-0.58536585365853655</c:v>
                </c:pt>
                <c:pt idx="9">
                  <c:v>-1.1686991869918699</c:v>
                </c:pt>
                <c:pt idx="10">
                  <c:v>-1.9186991869918701</c:v>
                </c:pt>
                <c:pt idx="11">
                  <c:v>-2.8353658536585367</c:v>
                </c:pt>
                <c:pt idx="12">
                  <c:v>-3.9186991869918697</c:v>
                </c:pt>
                <c:pt idx="13">
                  <c:v>-5.1686991869918693</c:v>
                </c:pt>
                <c:pt idx="14">
                  <c:v>-6.5853658536585362</c:v>
                </c:pt>
                <c:pt idx="15">
                  <c:v>-8.168699186991871</c:v>
                </c:pt>
                <c:pt idx="16">
                  <c:v>-9.918699186991871</c:v>
                </c:pt>
                <c:pt idx="17">
                  <c:v>-11.835365853658537</c:v>
                </c:pt>
                <c:pt idx="18">
                  <c:v>-13.918699186991871</c:v>
                </c:pt>
                <c:pt idx="19">
                  <c:v>-16.168699186991869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71-4057-9F2C-562A8CCDF652}"/>
            </c:ext>
          </c:extLst>
        </c:ser>
        <c:ser>
          <c:idx val="9"/>
          <c:order val="9"/>
          <c:tx>
            <c:strRef>
              <c:f>Задание3.2!$K$1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Задание3.2!$K$2:$K$21</c:f>
              <c:numCache>
                <c:formatCode>General</c:formatCode>
                <c:ptCount val="20"/>
                <c:pt idx="0">
                  <c:v>-1.7906504065040652</c:v>
                </c:pt>
                <c:pt idx="1">
                  <c:v>-1.0406504065040649</c:v>
                </c:pt>
                <c:pt idx="2">
                  <c:v>-0.45731707317073172</c:v>
                </c:pt>
                <c:pt idx="3">
                  <c:v>-4.065040650406504E-2</c:v>
                </c:pt>
                <c:pt idx="4">
                  <c:v>0.20934959349593496</c:v>
                </c:pt>
                <c:pt idx="5">
                  <c:v>0.29268292682926828</c:v>
                </c:pt>
                <c:pt idx="6">
                  <c:v>0.20934959349593496</c:v>
                </c:pt>
                <c:pt idx="7">
                  <c:v>-4.065040650406504E-2</c:v>
                </c:pt>
                <c:pt idx="8">
                  <c:v>-0.45731707317073172</c:v>
                </c:pt>
                <c:pt idx="9">
                  <c:v>-1.0406504065040649</c:v>
                </c:pt>
                <c:pt idx="10">
                  <c:v>-1.7906504065040652</c:v>
                </c:pt>
                <c:pt idx="11">
                  <c:v>-2.7073170731707319</c:v>
                </c:pt>
                <c:pt idx="12">
                  <c:v>-3.7906504065040649</c:v>
                </c:pt>
                <c:pt idx="13">
                  <c:v>-5.0406504065040645</c:v>
                </c:pt>
                <c:pt idx="14">
                  <c:v>-6.4573170731707314</c:v>
                </c:pt>
                <c:pt idx="15">
                  <c:v>-8.0406504065040654</c:v>
                </c:pt>
                <c:pt idx="16">
                  <c:v>-9.7906504065040654</c:v>
                </c:pt>
                <c:pt idx="17">
                  <c:v>-11.707317073170731</c:v>
                </c:pt>
                <c:pt idx="18">
                  <c:v>-13.790650406504065</c:v>
                </c:pt>
                <c:pt idx="19">
                  <c:v>-16.040650406504064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71-4057-9F2C-562A8CCDF652}"/>
            </c:ext>
          </c:extLst>
        </c:ser>
        <c:ser>
          <c:idx val="10"/>
          <c:order val="10"/>
          <c:tx>
            <c:strRef>
              <c:f>Задание3.2!$L$1</c:f>
              <c:strCache>
                <c:ptCount val="1"/>
                <c:pt idx="0">
                  <c:v>7,5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Задание3.2!$L$2:$L$21</c:f>
              <c:numCache>
                <c:formatCode>General</c:formatCode>
                <c:ptCount val="20"/>
                <c:pt idx="0">
                  <c:v>-1.6260162601626018</c:v>
                </c:pt>
                <c:pt idx="1">
                  <c:v>-0.87601626016260159</c:v>
                </c:pt>
                <c:pt idx="2">
                  <c:v>-0.29268292682926828</c:v>
                </c:pt>
                <c:pt idx="3">
                  <c:v>0.12398373983739841</c:v>
                </c:pt>
                <c:pt idx="4">
                  <c:v>0.37398373983739841</c:v>
                </c:pt>
                <c:pt idx="5">
                  <c:v>0.45731707317073172</c:v>
                </c:pt>
                <c:pt idx="6">
                  <c:v>0.37398373983739841</c:v>
                </c:pt>
                <c:pt idx="7">
                  <c:v>0.12398373983739841</c:v>
                </c:pt>
                <c:pt idx="8">
                  <c:v>-0.29268292682926828</c:v>
                </c:pt>
                <c:pt idx="9">
                  <c:v>-0.87601626016260159</c:v>
                </c:pt>
                <c:pt idx="10">
                  <c:v>-1.6260162601626018</c:v>
                </c:pt>
                <c:pt idx="11">
                  <c:v>-2.5426829268292681</c:v>
                </c:pt>
                <c:pt idx="12">
                  <c:v>-3.6260162601626011</c:v>
                </c:pt>
                <c:pt idx="13">
                  <c:v>-4.8760162601626016</c:v>
                </c:pt>
                <c:pt idx="14">
                  <c:v>-6.2926829268292686</c:v>
                </c:pt>
                <c:pt idx="15">
                  <c:v>-7.8760162601626025</c:v>
                </c:pt>
                <c:pt idx="16">
                  <c:v>-9.6260162601626025</c:v>
                </c:pt>
                <c:pt idx="17">
                  <c:v>-11.542682926829269</c:v>
                </c:pt>
                <c:pt idx="18">
                  <c:v>-13.626016260162602</c:v>
                </c:pt>
                <c:pt idx="19">
                  <c:v>-15.876016260162601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71-4057-9F2C-562A8CCDF652}"/>
            </c:ext>
          </c:extLst>
        </c:ser>
        <c:ser>
          <c:idx val="11"/>
          <c:order val="11"/>
          <c:tx>
            <c:strRef>
              <c:f>Задание3.2!$M$1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Задание3.2!$M$2:$M$21</c:f>
              <c:numCache>
                <c:formatCode>General</c:formatCode>
                <c:ptCount val="20"/>
                <c:pt idx="0">
                  <c:v>-1.4247967479674797</c:v>
                </c:pt>
                <c:pt idx="1">
                  <c:v>-0.67479674796747957</c:v>
                </c:pt>
                <c:pt idx="2">
                  <c:v>-9.1463414634146312E-2</c:v>
                </c:pt>
                <c:pt idx="3">
                  <c:v>0.32520325203252037</c:v>
                </c:pt>
                <c:pt idx="4">
                  <c:v>0.57520325203252032</c:v>
                </c:pt>
                <c:pt idx="5">
                  <c:v>0.65853658536585369</c:v>
                </c:pt>
                <c:pt idx="6">
                  <c:v>0.57520325203252032</c:v>
                </c:pt>
                <c:pt idx="7">
                  <c:v>0.32520325203252037</c:v>
                </c:pt>
                <c:pt idx="8">
                  <c:v>-9.1463414634146312E-2</c:v>
                </c:pt>
                <c:pt idx="9">
                  <c:v>-0.67479674796747957</c:v>
                </c:pt>
                <c:pt idx="10">
                  <c:v>-1.4247967479674797</c:v>
                </c:pt>
                <c:pt idx="11">
                  <c:v>-2.3414634146341462</c:v>
                </c:pt>
                <c:pt idx="12">
                  <c:v>-3.4247967479674792</c:v>
                </c:pt>
                <c:pt idx="13">
                  <c:v>-4.6747967479674797</c:v>
                </c:pt>
                <c:pt idx="14">
                  <c:v>-6.0914634146341466</c:v>
                </c:pt>
                <c:pt idx="15">
                  <c:v>-7.6747967479674806</c:v>
                </c:pt>
                <c:pt idx="16">
                  <c:v>-9.4247967479674806</c:v>
                </c:pt>
                <c:pt idx="17">
                  <c:v>-11.341463414634147</c:v>
                </c:pt>
                <c:pt idx="18">
                  <c:v>-13.424796747967481</c:v>
                </c:pt>
                <c:pt idx="19">
                  <c:v>-15.674796747967479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B71-4057-9F2C-562A8CCDF652}"/>
            </c:ext>
          </c:extLst>
        </c:ser>
        <c:ser>
          <c:idx val="12"/>
          <c:order val="12"/>
          <c:tx>
            <c:strRef>
              <c:f>Задание3.2!$N$1</c:f>
              <c:strCache>
                <c:ptCount val="1"/>
                <c:pt idx="0">
                  <c:v>10,5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Задание3.2!$N$2:$N$21</c:f>
              <c:numCache>
                <c:formatCode>General</c:formatCode>
                <c:ptCount val="20"/>
                <c:pt idx="0">
                  <c:v>-1.1869918699186992</c:v>
                </c:pt>
                <c:pt idx="1">
                  <c:v>-0.43699186991869909</c:v>
                </c:pt>
                <c:pt idx="2">
                  <c:v>0.14634146341463417</c:v>
                </c:pt>
                <c:pt idx="3">
                  <c:v>0.56300813008130079</c:v>
                </c:pt>
                <c:pt idx="4">
                  <c:v>0.81300813008130079</c:v>
                </c:pt>
                <c:pt idx="5">
                  <c:v>0.89634146341463417</c:v>
                </c:pt>
                <c:pt idx="6">
                  <c:v>0.81300813008130079</c:v>
                </c:pt>
                <c:pt idx="7">
                  <c:v>0.56300813008130079</c:v>
                </c:pt>
                <c:pt idx="8">
                  <c:v>0.14634146341463417</c:v>
                </c:pt>
                <c:pt idx="9">
                  <c:v>-0.43699186991869909</c:v>
                </c:pt>
                <c:pt idx="10">
                  <c:v>-1.1869918699186992</c:v>
                </c:pt>
                <c:pt idx="11">
                  <c:v>-2.1036585365853657</c:v>
                </c:pt>
                <c:pt idx="12">
                  <c:v>-3.1869918699186988</c:v>
                </c:pt>
                <c:pt idx="13">
                  <c:v>-4.4369918699186988</c:v>
                </c:pt>
                <c:pt idx="14">
                  <c:v>-5.8536585365853657</c:v>
                </c:pt>
                <c:pt idx="15">
                  <c:v>-7.4369918699186996</c:v>
                </c:pt>
                <c:pt idx="16">
                  <c:v>-9.1869918699186996</c:v>
                </c:pt>
                <c:pt idx="17">
                  <c:v>-11.103658536585366</c:v>
                </c:pt>
                <c:pt idx="18">
                  <c:v>-13.1869918699187</c:v>
                </c:pt>
                <c:pt idx="19">
                  <c:v>-15.436991869918698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71-4057-9F2C-562A8CCDF652}"/>
            </c:ext>
          </c:extLst>
        </c:ser>
        <c:ser>
          <c:idx val="13"/>
          <c:order val="13"/>
          <c:tx>
            <c:strRef>
              <c:f>Задание3.2!$O$1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Задание3.2!$A$2:$A$21</c:f>
              <c:numCache>
                <c:formatCode>General</c:formatCode>
                <c:ptCount val="2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</c:numCache>
            </c:numRef>
          </c:cat>
          <c:val>
            <c:numRef>
              <c:f>Задание3.2!$O$2:$O$21</c:f>
              <c:numCache>
                <c:formatCode>General</c:formatCode>
                <c:ptCount val="20"/>
                <c:pt idx="0">
                  <c:v>-0.91260162601626038</c:v>
                </c:pt>
                <c:pt idx="1">
                  <c:v>-0.16260162601626016</c:v>
                </c:pt>
                <c:pt idx="2">
                  <c:v>0.4207317073170731</c:v>
                </c:pt>
                <c:pt idx="3">
                  <c:v>0.83739837398373984</c:v>
                </c:pt>
                <c:pt idx="4">
                  <c:v>1.0873983739837398</c:v>
                </c:pt>
                <c:pt idx="5">
                  <c:v>1.1707317073170731</c:v>
                </c:pt>
                <c:pt idx="6">
                  <c:v>1.0873983739837398</c:v>
                </c:pt>
                <c:pt idx="7">
                  <c:v>0.83739837398373984</c:v>
                </c:pt>
                <c:pt idx="8">
                  <c:v>0.4207317073170731</c:v>
                </c:pt>
                <c:pt idx="9">
                  <c:v>-0.16260162601626016</c:v>
                </c:pt>
                <c:pt idx="10">
                  <c:v>-0.91260162601626038</c:v>
                </c:pt>
                <c:pt idx="11">
                  <c:v>-1.8292682926829269</c:v>
                </c:pt>
                <c:pt idx="12">
                  <c:v>-2.9126016260162597</c:v>
                </c:pt>
                <c:pt idx="13">
                  <c:v>-4.1626016260162597</c:v>
                </c:pt>
                <c:pt idx="14">
                  <c:v>-5.5792682926829267</c:v>
                </c:pt>
                <c:pt idx="15">
                  <c:v>-7.1626016260162606</c:v>
                </c:pt>
                <c:pt idx="16">
                  <c:v>-8.9126016260162615</c:v>
                </c:pt>
                <c:pt idx="17">
                  <c:v>-10.829268292682928</c:v>
                </c:pt>
                <c:pt idx="18">
                  <c:v>-12.912601626016261</c:v>
                </c:pt>
                <c:pt idx="19">
                  <c:v>-15.16260162601626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B71-4057-9F2C-562A8CCDF65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925686095"/>
        <c:axId val="925681935"/>
        <c:axId val="568076047"/>
      </c:surface3DChart>
      <c:catAx>
        <c:axId val="92568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681935"/>
        <c:crosses val="autoZero"/>
        <c:auto val="1"/>
        <c:lblAlgn val="ctr"/>
        <c:lblOffset val="100"/>
        <c:noMultiLvlLbl val="0"/>
      </c:catAx>
      <c:valAx>
        <c:axId val="92568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686095"/>
        <c:crosses val="autoZero"/>
        <c:crossBetween val="midCat"/>
      </c:valAx>
      <c:serAx>
        <c:axId val="5680760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6819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 </a:t>
            </a:r>
            <a:r>
              <a:rPr lang="en-US" baseline="0"/>
              <a:t>y = 7 - |x|</a:t>
            </a:r>
            <a:endParaRPr lang="ru-RU"/>
          </a:p>
        </c:rich>
      </c:tx>
      <c:layout>
        <c:manualLayout>
          <c:xMode val="edge"/>
          <c:yMode val="edge"/>
          <c:x val="0.2594582239720035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Лист4!$B$1:$N$1</c:f>
              <c:numCache>
                <c:formatCode>General</c:formatCode>
                <c:ptCount val="13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</c:numCache>
            </c:numRef>
          </c:xVal>
          <c:yVal>
            <c:numRef>
              <c:f>Лист4!$B$2:$N$2</c:f>
              <c:numCache>
                <c:formatCode>General</c:formatCode>
                <c:ptCount val="13"/>
                <c:pt idx="0">
                  <c:v>-3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  <c:pt idx="4">
                  <c:v>-3</c:v>
                </c:pt>
                <c:pt idx="5">
                  <c:v>-8</c:v>
                </c:pt>
                <c:pt idx="6">
                  <c:v>-13</c:v>
                </c:pt>
                <c:pt idx="7">
                  <c:v>-18</c:v>
                </c:pt>
                <c:pt idx="8">
                  <c:v>-23</c:v>
                </c:pt>
                <c:pt idx="9">
                  <c:v>-28</c:v>
                </c:pt>
                <c:pt idx="10">
                  <c:v>-33</c:v>
                </c:pt>
                <c:pt idx="11">
                  <c:v>-38</c:v>
                </c:pt>
                <c:pt idx="12">
                  <c:v>-43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09-4F81-9276-CA8FF7154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079567"/>
        <c:axId val="746081647"/>
      </c:scatterChart>
      <c:valAx>
        <c:axId val="74607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/>
                  <a:t>Х</a:t>
                </a:r>
              </a:p>
            </c:rich>
          </c:tx>
          <c:layout>
            <c:manualLayout>
              <c:xMode val="edge"/>
              <c:yMode val="edge"/>
              <c:x val="0.96064916885389307"/>
              <c:y val="0.22643518518518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081647"/>
        <c:crosses val="autoZero"/>
        <c:crossBetween val="midCat"/>
      </c:valAx>
      <c:valAx>
        <c:axId val="7460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30555555555555558"/>
              <c:y val="0.10164333624963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07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30480</xdr:rowOff>
    </xdr:from>
    <xdr:to>
      <xdr:col>6</xdr:col>
      <xdr:colOff>182880</xdr:colOff>
      <xdr:row>17</xdr:row>
      <xdr:rowOff>30480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22860</xdr:rowOff>
    </xdr:from>
    <xdr:to>
      <xdr:col>6</xdr:col>
      <xdr:colOff>182880</xdr:colOff>
      <xdr:row>14</xdr:row>
      <xdr:rowOff>22860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53340</xdr:rowOff>
    </xdr:from>
    <xdr:to>
      <xdr:col>6</xdr:col>
      <xdr:colOff>182880</xdr:colOff>
      <xdr:row>45</xdr:row>
      <xdr:rowOff>53340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7620</xdr:rowOff>
    </xdr:from>
    <xdr:to>
      <xdr:col>6</xdr:col>
      <xdr:colOff>678180</xdr:colOff>
      <xdr:row>30</xdr:row>
      <xdr:rowOff>45720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48</xdr:row>
      <xdr:rowOff>45720</xdr:rowOff>
    </xdr:from>
    <xdr:to>
      <xdr:col>6</xdr:col>
      <xdr:colOff>213360</xdr:colOff>
      <xdr:row>60</xdr:row>
      <xdr:rowOff>45720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63</xdr:row>
      <xdr:rowOff>53340</xdr:rowOff>
    </xdr:from>
    <xdr:to>
      <xdr:col>6</xdr:col>
      <xdr:colOff>182880</xdr:colOff>
      <xdr:row>75</xdr:row>
      <xdr:rowOff>53340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</xdr:colOff>
      <xdr:row>78</xdr:row>
      <xdr:rowOff>15240</xdr:rowOff>
    </xdr:from>
    <xdr:to>
      <xdr:col>6</xdr:col>
      <xdr:colOff>198120</xdr:colOff>
      <xdr:row>90</xdr:row>
      <xdr:rowOff>15240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137160</xdr:rowOff>
    </xdr:from>
    <xdr:to>
      <xdr:col>6</xdr:col>
      <xdr:colOff>182880</xdr:colOff>
      <xdr:row>24</xdr:row>
      <xdr:rowOff>137160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21</xdr:row>
      <xdr:rowOff>53339</xdr:rowOff>
    </xdr:from>
    <xdr:to>
      <xdr:col>7</xdr:col>
      <xdr:colOff>348343</xdr:colOff>
      <xdr:row>36</xdr:row>
      <xdr:rowOff>21770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53340</xdr:rowOff>
    </xdr:from>
    <xdr:to>
      <xdr:col>6</xdr:col>
      <xdr:colOff>182880</xdr:colOff>
      <xdr:row>14</xdr:row>
      <xdr:rowOff>53340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view="pageLayout" zoomScaleNormal="100" workbookViewId="0">
      <selection activeCell="L18" sqref="L18"/>
    </sheetView>
  </sheetViews>
  <sheetFormatPr defaultRowHeight="18.75" x14ac:dyDescent="0.3"/>
  <sheetData>
    <row r="1" spans="1:8" x14ac:dyDescent="0.3">
      <c r="A1" s="3" t="s">
        <v>0</v>
      </c>
      <c r="B1" s="2">
        <v>4</v>
      </c>
    </row>
    <row r="2" spans="1:8" x14ac:dyDescent="0.3">
      <c r="A2" s="3" t="s">
        <v>1</v>
      </c>
      <c r="B2" s="2">
        <v>5</v>
      </c>
    </row>
    <row r="3" spans="1:8" x14ac:dyDescent="0.3">
      <c r="A3" s="1"/>
      <c r="B3" s="1"/>
    </row>
    <row r="4" spans="1:8" x14ac:dyDescent="0.3">
      <c r="A4" s="3" t="s">
        <v>2</v>
      </c>
      <c r="B4" s="2">
        <v>-3</v>
      </c>
      <c r="C4" s="2">
        <v>-2</v>
      </c>
      <c r="D4" s="2">
        <v>-1</v>
      </c>
      <c r="E4" s="2">
        <v>0</v>
      </c>
      <c r="F4" s="2">
        <v>1</v>
      </c>
      <c r="G4" s="2">
        <v>2</v>
      </c>
      <c r="H4" s="2">
        <v>3</v>
      </c>
    </row>
    <row r="5" spans="1:8" x14ac:dyDescent="0.3">
      <c r="A5" s="3" t="s">
        <v>3</v>
      </c>
      <c r="B5" s="2">
        <f>$B$1*B4+$B$2</f>
        <v>-7</v>
      </c>
      <c r="C5" s="2">
        <f t="shared" ref="C5:H5" si="0">$B$1*C4+$B$2</f>
        <v>-3</v>
      </c>
      <c r="D5" s="2">
        <f t="shared" si="0"/>
        <v>1</v>
      </c>
      <c r="E5" s="2">
        <f t="shared" si="0"/>
        <v>5</v>
      </c>
      <c r="F5" s="2">
        <f t="shared" si="0"/>
        <v>9</v>
      </c>
      <c r="G5" s="2">
        <f t="shared" si="0"/>
        <v>13</v>
      </c>
      <c r="H5" s="2">
        <f t="shared" si="0"/>
        <v>17</v>
      </c>
    </row>
  </sheetData>
  <pageMargins left="0.7" right="0.7" top="0.75" bottom="0.75" header="0.3" footer="0.3"/>
  <pageSetup paperSize="9" orientation="portrait" r:id="rId1"/>
  <headerFooter>
    <oddHeader xml:space="preserve">&amp;LАннануров Даниил Петрович ИВТ 1.2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tabSelected="1" topLeftCell="A34" zoomScaleNormal="100" workbookViewId="0">
      <selection activeCell="I54" sqref="I54"/>
    </sheetView>
  </sheetViews>
  <sheetFormatPr defaultRowHeight="18.75" x14ac:dyDescent="0.3"/>
  <sheetData>
    <row r="1" spans="1:13" x14ac:dyDescent="0.3">
      <c r="A1" s="3" t="s">
        <v>2</v>
      </c>
      <c r="B1" s="2">
        <v>-5</v>
      </c>
      <c r="C1" s="2">
        <v>-3</v>
      </c>
      <c r="D1" s="2">
        <v>-1</v>
      </c>
      <c r="E1" s="2">
        <v>1</v>
      </c>
      <c r="F1" s="2">
        <v>3</v>
      </c>
      <c r="G1" s="2">
        <v>5</v>
      </c>
      <c r="H1" s="2">
        <v>7</v>
      </c>
      <c r="I1" s="2">
        <v>9</v>
      </c>
      <c r="J1" s="2">
        <v>11</v>
      </c>
      <c r="K1" s="2">
        <v>13</v>
      </c>
      <c r="L1" s="2">
        <v>15</v>
      </c>
      <c r="M1" s="2">
        <v>17</v>
      </c>
    </row>
    <row r="2" spans="1:13" x14ac:dyDescent="0.3">
      <c r="A2" s="3" t="s">
        <v>3</v>
      </c>
      <c r="B2" s="2">
        <f>POWER(2,B1)+3</f>
        <v>3.03125</v>
      </c>
      <c r="C2" s="2">
        <f t="shared" ref="C2:H2" si="0">POWER(2,C1)+3</f>
        <v>3.125</v>
      </c>
      <c r="D2" s="2">
        <f t="shared" si="0"/>
        <v>3.5</v>
      </c>
      <c r="E2" s="2">
        <f t="shared" si="0"/>
        <v>5</v>
      </c>
      <c r="F2" s="2">
        <f t="shared" si="0"/>
        <v>11</v>
      </c>
      <c r="G2" s="2">
        <f t="shared" si="0"/>
        <v>35</v>
      </c>
      <c r="H2" s="2">
        <f t="shared" si="0"/>
        <v>131</v>
      </c>
      <c r="I2" s="2">
        <f t="shared" ref="I2" si="1">POWER(2,I1)+3</f>
        <v>515</v>
      </c>
      <c r="J2" s="2">
        <f t="shared" ref="J2" si="2">POWER(2,J1)+3</f>
        <v>2051</v>
      </c>
      <c r="K2" s="2">
        <f t="shared" ref="K2" si="3">POWER(2,K1)+3</f>
        <v>8195</v>
      </c>
      <c r="L2" s="2">
        <f t="shared" ref="L2" si="4">POWER(2,L1)+3</f>
        <v>32771</v>
      </c>
      <c r="M2" s="2">
        <f t="shared" ref="M2" si="5">POWER(2,M1)+3</f>
        <v>131075</v>
      </c>
    </row>
    <row r="16" spans="1:13" x14ac:dyDescent="0.3">
      <c r="A16" s="3" t="s">
        <v>2</v>
      </c>
      <c r="B16" s="2">
        <v>0</v>
      </c>
      <c r="C16" s="2">
        <v>1</v>
      </c>
      <c r="D16" s="2">
        <v>4</v>
      </c>
      <c r="E16" s="2">
        <v>9</v>
      </c>
      <c r="F16" s="2">
        <v>11</v>
      </c>
      <c r="G16" s="2">
        <v>14</v>
      </c>
      <c r="H16" s="2">
        <v>17</v>
      </c>
      <c r="I16" s="2">
        <v>20</v>
      </c>
      <c r="J16" s="2">
        <v>23</v>
      </c>
      <c r="K16" s="2">
        <v>26</v>
      </c>
    </row>
    <row r="17" spans="1:14" x14ac:dyDescent="0.3">
      <c r="A17" s="3" t="s">
        <v>3</v>
      </c>
      <c r="B17" s="2">
        <f>SQRT(B16)</f>
        <v>0</v>
      </c>
      <c r="C17" s="2">
        <f t="shared" ref="C17:K17" si="6">SQRT(C16)</f>
        <v>1</v>
      </c>
      <c r="D17" s="2">
        <f t="shared" si="6"/>
        <v>2</v>
      </c>
      <c r="E17" s="2">
        <f t="shared" si="6"/>
        <v>3</v>
      </c>
      <c r="F17" s="2">
        <f t="shared" si="6"/>
        <v>3.3166247903553998</v>
      </c>
      <c r="G17" s="2">
        <f t="shared" si="6"/>
        <v>3.7416573867739413</v>
      </c>
      <c r="H17" s="2">
        <f t="shared" si="6"/>
        <v>4.1231056256176606</v>
      </c>
      <c r="I17" s="2">
        <f t="shared" si="6"/>
        <v>4.4721359549995796</v>
      </c>
      <c r="J17" s="2">
        <f t="shared" si="6"/>
        <v>4.7958315233127191</v>
      </c>
      <c r="K17" s="2">
        <f t="shared" si="6"/>
        <v>5.0990195135927845</v>
      </c>
    </row>
    <row r="32" spans="1:14" x14ac:dyDescent="0.3">
      <c r="A32" s="3" t="s">
        <v>2</v>
      </c>
      <c r="B32" s="2">
        <v>-10</v>
      </c>
      <c r="C32" s="2">
        <v>-5</v>
      </c>
      <c r="D32" s="2">
        <v>0</v>
      </c>
      <c r="E32" s="2">
        <v>5</v>
      </c>
      <c r="F32" s="2">
        <v>10</v>
      </c>
      <c r="G32" s="2">
        <v>15</v>
      </c>
      <c r="H32" s="2">
        <v>20</v>
      </c>
      <c r="I32" s="2">
        <v>25</v>
      </c>
      <c r="J32" s="2">
        <v>30</v>
      </c>
      <c r="K32" s="2">
        <v>35</v>
      </c>
      <c r="L32" s="2">
        <v>40</v>
      </c>
      <c r="M32" s="2">
        <v>45</v>
      </c>
      <c r="N32" s="2">
        <v>50</v>
      </c>
    </row>
    <row r="33" spans="1:18" x14ac:dyDescent="0.3">
      <c r="A33" s="3" t="s">
        <v>3</v>
      </c>
      <c r="B33" s="2">
        <f>7-ABS(B32)</f>
        <v>-3</v>
      </c>
      <c r="C33" s="2">
        <f t="shared" ref="C33:N33" si="7">7-ABS(C32)</f>
        <v>2</v>
      </c>
      <c r="D33" s="2">
        <f t="shared" si="7"/>
        <v>7</v>
      </c>
      <c r="E33" s="2">
        <f t="shared" si="7"/>
        <v>2</v>
      </c>
      <c r="F33" s="2">
        <f t="shared" si="7"/>
        <v>-3</v>
      </c>
      <c r="G33" s="2">
        <f t="shared" si="7"/>
        <v>-8</v>
      </c>
      <c r="H33" s="2">
        <f t="shared" si="7"/>
        <v>-13</v>
      </c>
      <c r="I33" s="2">
        <f t="shared" si="7"/>
        <v>-18</v>
      </c>
      <c r="J33" s="2">
        <f t="shared" si="7"/>
        <v>-23</v>
      </c>
      <c r="K33" s="2">
        <f t="shared" si="7"/>
        <v>-28</v>
      </c>
      <c r="L33" s="2">
        <f t="shared" si="7"/>
        <v>-33</v>
      </c>
      <c r="M33" s="2">
        <f t="shared" si="7"/>
        <v>-38</v>
      </c>
      <c r="N33" s="2">
        <f t="shared" si="7"/>
        <v>-43</v>
      </c>
    </row>
    <row r="47" spans="1:18" x14ac:dyDescent="0.3">
      <c r="A47" s="3" t="s">
        <v>2</v>
      </c>
      <c r="B47" s="2">
        <v>-5</v>
      </c>
      <c r="C47" s="2">
        <v>-4</v>
      </c>
      <c r="D47" s="2">
        <v>-3</v>
      </c>
      <c r="E47" s="2">
        <v>-2</v>
      </c>
      <c r="F47" s="2">
        <v>-1</v>
      </c>
      <c r="G47" s="2">
        <v>-0.75</v>
      </c>
      <c r="H47" s="2">
        <v>-0.5</v>
      </c>
      <c r="I47" s="2">
        <v>-0.25</v>
      </c>
      <c r="J47" s="2"/>
      <c r="K47" s="2">
        <v>0.5</v>
      </c>
      <c r="L47" s="2">
        <v>0.75</v>
      </c>
      <c r="M47" s="2">
        <v>1</v>
      </c>
      <c r="N47" s="2">
        <v>1.25</v>
      </c>
      <c r="O47" s="2">
        <v>1.5</v>
      </c>
      <c r="P47" s="2">
        <v>1.75</v>
      </c>
      <c r="Q47" s="2">
        <v>2</v>
      </c>
      <c r="R47" s="2">
        <v>2.25</v>
      </c>
    </row>
    <row r="48" spans="1:18" x14ac:dyDescent="0.3">
      <c r="A48" s="3" t="s">
        <v>3</v>
      </c>
      <c r="B48" s="2">
        <f>1/B47</f>
        <v>-0.2</v>
      </c>
      <c r="C48" s="2">
        <f t="shared" ref="C48:R48" si="8">1/C47</f>
        <v>-0.25</v>
      </c>
      <c r="D48" s="2">
        <f t="shared" si="8"/>
        <v>-0.33333333333333331</v>
      </c>
      <c r="E48" s="2">
        <f t="shared" si="8"/>
        <v>-0.5</v>
      </c>
      <c r="F48" s="2">
        <f t="shared" si="8"/>
        <v>-1</v>
      </c>
      <c r="G48" s="2">
        <f t="shared" si="8"/>
        <v>-1.3333333333333333</v>
      </c>
      <c r="H48" s="2">
        <f t="shared" si="8"/>
        <v>-2</v>
      </c>
      <c r="I48" s="2">
        <f t="shared" si="8"/>
        <v>-4</v>
      </c>
      <c r="J48" s="2"/>
      <c r="K48" s="2">
        <f t="shared" si="8"/>
        <v>2</v>
      </c>
      <c r="L48" s="2">
        <f t="shared" si="8"/>
        <v>1.3333333333333333</v>
      </c>
      <c r="M48" s="2">
        <f t="shared" si="8"/>
        <v>1</v>
      </c>
      <c r="N48" s="2">
        <f t="shared" si="8"/>
        <v>0.8</v>
      </c>
      <c r="O48" s="2">
        <f t="shared" si="8"/>
        <v>0.66666666666666663</v>
      </c>
      <c r="P48" s="2">
        <f t="shared" si="8"/>
        <v>0.5714285714285714</v>
      </c>
      <c r="Q48" s="2">
        <f t="shared" si="8"/>
        <v>0.5</v>
      </c>
      <c r="R48" s="2">
        <f t="shared" si="8"/>
        <v>0.44444444444444442</v>
      </c>
    </row>
    <row r="62" spans="1:13" x14ac:dyDescent="0.3">
      <c r="A62" s="3" t="s">
        <v>2</v>
      </c>
      <c r="B62" s="2">
        <v>0.25</v>
      </c>
      <c r="C62" s="2">
        <v>0.5</v>
      </c>
      <c r="D62" s="2">
        <v>0.75</v>
      </c>
      <c r="E62" s="2">
        <v>1</v>
      </c>
      <c r="F62" s="2">
        <v>1.25</v>
      </c>
      <c r="G62" s="2">
        <v>1.5</v>
      </c>
      <c r="H62" s="2">
        <v>1.75</v>
      </c>
      <c r="I62" s="2">
        <v>2</v>
      </c>
      <c r="J62" s="2">
        <v>2.25</v>
      </c>
      <c r="K62" s="2">
        <v>2.5</v>
      </c>
      <c r="L62" s="2">
        <v>2.75</v>
      </c>
      <c r="M62" s="2">
        <v>3</v>
      </c>
    </row>
    <row r="63" spans="1:13" x14ac:dyDescent="0.3">
      <c r="A63" s="3" t="s">
        <v>3</v>
      </c>
      <c r="B63" s="2">
        <f>LN(B62)</f>
        <v>-1.3862943611198906</v>
      </c>
      <c r="C63" s="2">
        <f t="shared" ref="C63:M63" si="9">LN(C62)</f>
        <v>-0.69314718055994529</v>
      </c>
      <c r="D63" s="2">
        <f t="shared" si="9"/>
        <v>-0.2876820724517809</v>
      </c>
      <c r="E63" s="2">
        <f t="shared" si="9"/>
        <v>0</v>
      </c>
      <c r="F63" s="2">
        <f t="shared" si="9"/>
        <v>0.22314355131420976</v>
      </c>
      <c r="G63" s="2">
        <f t="shared" si="9"/>
        <v>0.40546510810816438</v>
      </c>
      <c r="H63" s="2">
        <f t="shared" si="9"/>
        <v>0.55961578793542266</v>
      </c>
      <c r="I63" s="2">
        <f t="shared" si="9"/>
        <v>0.69314718055994529</v>
      </c>
      <c r="J63" s="2">
        <f t="shared" si="9"/>
        <v>0.81093021621632877</v>
      </c>
      <c r="K63" s="2">
        <f t="shared" si="9"/>
        <v>0.91629073187415511</v>
      </c>
      <c r="L63" s="2">
        <f t="shared" si="9"/>
        <v>1.0116009116784799</v>
      </c>
      <c r="M63" s="2">
        <f t="shared" si="9"/>
        <v>1.0986122886681098</v>
      </c>
    </row>
    <row r="77" spans="1:11" x14ac:dyDescent="0.3">
      <c r="A77" s="7" t="s">
        <v>2</v>
      </c>
      <c r="B77" s="6">
        <v>0.25</v>
      </c>
      <c r="C77" s="6">
        <v>0.5</v>
      </c>
      <c r="D77" s="6">
        <v>0.75</v>
      </c>
      <c r="E77" s="6">
        <v>1</v>
      </c>
      <c r="F77" s="6">
        <v>1.25</v>
      </c>
      <c r="G77" s="6">
        <v>1.5</v>
      </c>
      <c r="H77" s="6">
        <v>1.75</v>
      </c>
      <c r="I77" s="6">
        <v>2</v>
      </c>
      <c r="J77" s="6">
        <v>2.25</v>
      </c>
      <c r="K77" s="6">
        <v>2.5</v>
      </c>
    </row>
    <row r="78" spans="1:11" x14ac:dyDescent="0.3">
      <c r="A78" s="7" t="s">
        <v>3</v>
      </c>
      <c r="B78" s="6">
        <f>LN(5)</f>
        <v>1.6094379124341003</v>
      </c>
      <c r="C78" s="6">
        <f t="shared" ref="C78:K78" si="10">LN(5)</f>
        <v>1.6094379124341003</v>
      </c>
      <c r="D78" s="6">
        <f t="shared" si="10"/>
        <v>1.6094379124341003</v>
      </c>
      <c r="E78" s="6">
        <f t="shared" si="10"/>
        <v>1.6094379124341003</v>
      </c>
      <c r="F78" s="6">
        <f t="shared" si="10"/>
        <v>1.6094379124341003</v>
      </c>
      <c r="G78" s="6">
        <f t="shared" si="10"/>
        <v>1.6094379124341003</v>
      </c>
      <c r="H78" s="6">
        <f t="shared" si="10"/>
        <v>1.6094379124341003</v>
      </c>
      <c r="I78" s="6">
        <f t="shared" si="10"/>
        <v>1.6094379124341003</v>
      </c>
      <c r="J78" s="6">
        <f t="shared" si="10"/>
        <v>1.6094379124341003</v>
      </c>
      <c r="K78" s="6">
        <f t="shared" si="10"/>
        <v>1.6094379124341003</v>
      </c>
    </row>
  </sheetData>
  <pageMargins left="0.7" right="0.7" top="0.75" bottom="0.75" header="0.3" footer="0.3"/>
  <pageSetup paperSize="9" orientation="portrait" r:id="rId1"/>
  <headerFooter>
    <oddHeader>&amp;LАннануров Даниил Петрович ИВТ 1.2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view="pageLayout" topLeftCell="A13" zoomScaleNormal="100" workbookViewId="0">
      <selection activeCell="N5" sqref="N5"/>
    </sheetView>
  </sheetViews>
  <sheetFormatPr defaultRowHeight="18.75" x14ac:dyDescent="0.3"/>
  <sheetData>
    <row r="1" spans="1:12" x14ac:dyDescent="0.3">
      <c r="A1" s="4"/>
      <c r="B1" s="5">
        <v>-7.5</v>
      </c>
      <c r="C1" s="5">
        <v>-6</v>
      </c>
      <c r="D1" s="5">
        <v>-4.5</v>
      </c>
      <c r="E1" s="5">
        <v>-3</v>
      </c>
      <c r="F1" s="5">
        <v>-1.5</v>
      </c>
      <c r="G1" s="5">
        <v>0</v>
      </c>
      <c r="H1" s="5">
        <v>1.5</v>
      </c>
      <c r="I1" s="5">
        <v>3</v>
      </c>
      <c r="J1" s="5">
        <v>4.5</v>
      </c>
      <c r="K1" s="5">
        <v>6</v>
      </c>
      <c r="L1" s="5">
        <v>7.5</v>
      </c>
    </row>
    <row r="2" spans="1:12" x14ac:dyDescent="0.3">
      <c r="A2" s="5">
        <v>-5</v>
      </c>
      <c r="B2" s="4">
        <f>(B$1)^2-($A2)^2</f>
        <v>31.25</v>
      </c>
      <c r="C2" s="4">
        <f t="shared" ref="C2:L12" si="0">(C$1)^2-($A2)^2</f>
        <v>11</v>
      </c>
      <c r="D2" s="4">
        <f t="shared" si="0"/>
        <v>-4.75</v>
      </c>
      <c r="E2" s="4">
        <f t="shared" si="0"/>
        <v>-16</v>
      </c>
      <c r="F2" s="4">
        <f t="shared" si="0"/>
        <v>-22.75</v>
      </c>
      <c r="G2" s="4">
        <f t="shared" si="0"/>
        <v>-25</v>
      </c>
      <c r="H2" s="4">
        <f t="shared" si="0"/>
        <v>-22.75</v>
      </c>
      <c r="I2" s="4">
        <f t="shared" si="0"/>
        <v>-16</v>
      </c>
      <c r="J2" s="4">
        <f t="shared" si="0"/>
        <v>-4.75</v>
      </c>
      <c r="K2" s="4">
        <f t="shared" si="0"/>
        <v>11</v>
      </c>
      <c r="L2" s="4">
        <f t="shared" si="0"/>
        <v>31.25</v>
      </c>
    </row>
    <row r="3" spans="1:12" x14ac:dyDescent="0.3">
      <c r="A3" s="5">
        <v>-4</v>
      </c>
      <c r="B3" s="4">
        <f t="shared" ref="B3:B12" si="1">(B$1)^2-($A3)^2</f>
        <v>40.25</v>
      </c>
      <c r="C3" s="4">
        <f t="shared" si="0"/>
        <v>20</v>
      </c>
      <c r="D3" s="4">
        <f t="shared" si="0"/>
        <v>4.25</v>
      </c>
      <c r="E3" s="4">
        <f t="shared" si="0"/>
        <v>-7</v>
      </c>
      <c r="F3" s="4">
        <f t="shared" si="0"/>
        <v>-13.75</v>
      </c>
      <c r="G3" s="4">
        <f t="shared" si="0"/>
        <v>-16</v>
      </c>
      <c r="H3" s="4">
        <f t="shared" si="0"/>
        <v>-13.75</v>
      </c>
      <c r="I3" s="4">
        <f t="shared" si="0"/>
        <v>-7</v>
      </c>
      <c r="J3" s="4">
        <f t="shared" si="0"/>
        <v>4.25</v>
      </c>
      <c r="K3" s="4">
        <f t="shared" si="0"/>
        <v>20</v>
      </c>
      <c r="L3" s="4">
        <f t="shared" si="0"/>
        <v>40.25</v>
      </c>
    </row>
    <row r="4" spans="1:12" x14ac:dyDescent="0.3">
      <c r="A4" s="5">
        <v>-3</v>
      </c>
      <c r="B4" s="4">
        <f t="shared" si="1"/>
        <v>47.25</v>
      </c>
      <c r="C4" s="4">
        <f t="shared" si="0"/>
        <v>27</v>
      </c>
      <c r="D4" s="4">
        <f t="shared" si="0"/>
        <v>11.25</v>
      </c>
      <c r="E4" s="4">
        <f t="shared" si="0"/>
        <v>0</v>
      </c>
      <c r="F4" s="4">
        <f t="shared" si="0"/>
        <v>-6.75</v>
      </c>
      <c r="G4" s="4">
        <f t="shared" si="0"/>
        <v>-9</v>
      </c>
      <c r="H4" s="4">
        <f t="shared" si="0"/>
        <v>-6.75</v>
      </c>
      <c r="I4" s="4">
        <f t="shared" si="0"/>
        <v>0</v>
      </c>
      <c r="J4" s="4">
        <f t="shared" si="0"/>
        <v>11.25</v>
      </c>
      <c r="K4" s="4">
        <f t="shared" si="0"/>
        <v>27</v>
      </c>
      <c r="L4" s="4">
        <f t="shared" si="0"/>
        <v>47.25</v>
      </c>
    </row>
    <row r="5" spans="1:12" x14ac:dyDescent="0.3">
      <c r="A5" s="5">
        <v>-2</v>
      </c>
      <c r="B5" s="4">
        <f t="shared" si="1"/>
        <v>52.25</v>
      </c>
      <c r="C5" s="4">
        <f t="shared" si="0"/>
        <v>32</v>
      </c>
      <c r="D5" s="4">
        <f t="shared" si="0"/>
        <v>16.25</v>
      </c>
      <c r="E5" s="4">
        <f t="shared" si="0"/>
        <v>5</v>
      </c>
      <c r="F5" s="4">
        <f t="shared" si="0"/>
        <v>-1.75</v>
      </c>
      <c r="G5" s="4">
        <f t="shared" si="0"/>
        <v>-4</v>
      </c>
      <c r="H5" s="4">
        <f t="shared" si="0"/>
        <v>-1.75</v>
      </c>
      <c r="I5" s="4">
        <f t="shared" si="0"/>
        <v>5</v>
      </c>
      <c r="J5" s="4">
        <f t="shared" si="0"/>
        <v>16.25</v>
      </c>
      <c r="K5" s="4">
        <f t="shared" si="0"/>
        <v>32</v>
      </c>
      <c r="L5" s="4">
        <f t="shared" si="0"/>
        <v>52.25</v>
      </c>
    </row>
    <row r="6" spans="1:12" x14ac:dyDescent="0.3">
      <c r="A6" s="5">
        <v>-1</v>
      </c>
      <c r="B6" s="4">
        <f t="shared" si="1"/>
        <v>55.25</v>
      </c>
      <c r="C6" s="4">
        <f t="shared" si="0"/>
        <v>35</v>
      </c>
      <c r="D6" s="4">
        <f t="shared" si="0"/>
        <v>19.25</v>
      </c>
      <c r="E6" s="4">
        <f t="shared" si="0"/>
        <v>8</v>
      </c>
      <c r="F6" s="4">
        <f t="shared" si="0"/>
        <v>1.25</v>
      </c>
      <c r="G6" s="4">
        <f t="shared" si="0"/>
        <v>-1</v>
      </c>
      <c r="H6" s="4">
        <f t="shared" si="0"/>
        <v>1.25</v>
      </c>
      <c r="I6" s="4">
        <f t="shared" si="0"/>
        <v>8</v>
      </c>
      <c r="J6" s="4">
        <f t="shared" si="0"/>
        <v>19.25</v>
      </c>
      <c r="K6" s="4">
        <f t="shared" si="0"/>
        <v>35</v>
      </c>
      <c r="L6" s="4">
        <f t="shared" si="0"/>
        <v>55.25</v>
      </c>
    </row>
    <row r="7" spans="1:12" x14ac:dyDescent="0.3">
      <c r="A7" s="5">
        <v>0</v>
      </c>
      <c r="B7" s="4">
        <f t="shared" si="1"/>
        <v>56.25</v>
      </c>
      <c r="C7" s="4">
        <f t="shared" si="0"/>
        <v>36</v>
      </c>
      <c r="D7" s="4">
        <f t="shared" si="0"/>
        <v>20.25</v>
      </c>
      <c r="E7" s="4">
        <f t="shared" si="0"/>
        <v>9</v>
      </c>
      <c r="F7" s="4">
        <f t="shared" si="0"/>
        <v>2.25</v>
      </c>
      <c r="G7" s="4">
        <f t="shared" si="0"/>
        <v>0</v>
      </c>
      <c r="H7" s="4">
        <f t="shared" si="0"/>
        <v>2.25</v>
      </c>
      <c r="I7" s="4">
        <f t="shared" si="0"/>
        <v>9</v>
      </c>
      <c r="J7" s="4">
        <f t="shared" si="0"/>
        <v>20.25</v>
      </c>
      <c r="K7" s="4">
        <f t="shared" si="0"/>
        <v>36</v>
      </c>
      <c r="L7" s="4">
        <f t="shared" si="0"/>
        <v>56.25</v>
      </c>
    </row>
    <row r="8" spans="1:12" x14ac:dyDescent="0.3">
      <c r="A8" s="5">
        <v>1</v>
      </c>
      <c r="B8" s="4">
        <f t="shared" si="1"/>
        <v>55.25</v>
      </c>
      <c r="C8" s="4">
        <f t="shared" si="0"/>
        <v>35</v>
      </c>
      <c r="D8" s="4">
        <f t="shared" si="0"/>
        <v>19.25</v>
      </c>
      <c r="E8" s="4">
        <f t="shared" si="0"/>
        <v>8</v>
      </c>
      <c r="F8" s="4">
        <f t="shared" si="0"/>
        <v>1.25</v>
      </c>
      <c r="G8" s="4">
        <f t="shared" si="0"/>
        <v>-1</v>
      </c>
      <c r="H8" s="4">
        <f t="shared" si="0"/>
        <v>1.25</v>
      </c>
      <c r="I8" s="4">
        <f t="shared" si="0"/>
        <v>8</v>
      </c>
      <c r="J8" s="4">
        <f t="shared" si="0"/>
        <v>19.25</v>
      </c>
      <c r="K8" s="4">
        <f t="shared" si="0"/>
        <v>35</v>
      </c>
      <c r="L8" s="4">
        <f t="shared" si="0"/>
        <v>55.25</v>
      </c>
    </row>
    <row r="9" spans="1:12" x14ac:dyDescent="0.3">
      <c r="A9" s="5">
        <v>2</v>
      </c>
      <c r="B9" s="4">
        <f t="shared" si="1"/>
        <v>52.25</v>
      </c>
      <c r="C9" s="4">
        <f t="shared" si="0"/>
        <v>32</v>
      </c>
      <c r="D9" s="4">
        <f t="shared" si="0"/>
        <v>16.25</v>
      </c>
      <c r="E9" s="4">
        <f t="shared" si="0"/>
        <v>5</v>
      </c>
      <c r="F9" s="4">
        <f t="shared" si="0"/>
        <v>-1.75</v>
      </c>
      <c r="G9" s="4">
        <f t="shared" si="0"/>
        <v>-4</v>
      </c>
      <c r="H9" s="4">
        <f t="shared" si="0"/>
        <v>-1.75</v>
      </c>
      <c r="I9" s="4">
        <f t="shared" si="0"/>
        <v>5</v>
      </c>
      <c r="J9" s="4">
        <f t="shared" si="0"/>
        <v>16.25</v>
      </c>
      <c r="K9" s="4">
        <f t="shared" si="0"/>
        <v>32</v>
      </c>
      <c r="L9" s="4">
        <f t="shared" si="0"/>
        <v>52.25</v>
      </c>
    </row>
    <row r="10" spans="1:12" x14ac:dyDescent="0.3">
      <c r="A10" s="5">
        <v>3</v>
      </c>
      <c r="B10" s="4">
        <f t="shared" si="1"/>
        <v>47.25</v>
      </c>
      <c r="C10" s="4">
        <f t="shared" si="0"/>
        <v>27</v>
      </c>
      <c r="D10" s="4">
        <f t="shared" si="0"/>
        <v>11.25</v>
      </c>
      <c r="E10" s="4">
        <f t="shared" si="0"/>
        <v>0</v>
      </c>
      <c r="F10" s="4">
        <f t="shared" si="0"/>
        <v>-6.75</v>
      </c>
      <c r="G10" s="4">
        <f t="shared" si="0"/>
        <v>-9</v>
      </c>
      <c r="H10" s="4">
        <f t="shared" si="0"/>
        <v>-6.75</v>
      </c>
      <c r="I10" s="4">
        <f t="shared" si="0"/>
        <v>0</v>
      </c>
      <c r="J10" s="4">
        <f t="shared" si="0"/>
        <v>11.25</v>
      </c>
      <c r="K10" s="4">
        <f t="shared" si="0"/>
        <v>27</v>
      </c>
      <c r="L10" s="4">
        <f t="shared" si="0"/>
        <v>47.25</v>
      </c>
    </row>
    <row r="11" spans="1:12" x14ac:dyDescent="0.3">
      <c r="A11" s="5">
        <v>4</v>
      </c>
      <c r="B11" s="4">
        <f t="shared" si="1"/>
        <v>40.25</v>
      </c>
      <c r="C11" s="4">
        <f t="shared" si="0"/>
        <v>20</v>
      </c>
      <c r="D11" s="4">
        <f t="shared" si="0"/>
        <v>4.25</v>
      </c>
      <c r="E11" s="4">
        <f t="shared" si="0"/>
        <v>-7</v>
      </c>
      <c r="F11" s="4">
        <f t="shared" si="0"/>
        <v>-13.75</v>
      </c>
      <c r="G11" s="4">
        <f t="shared" si="0"/>
        <v>-16</v>
      </c>
      <c r="H11" s="4">
        <f t="shared" si="0"/>
        <v>-13.75</v>
      </c>
      <c r="I11" s="4">
        <f t="shared" si="0"/>
        <v>-7</v>
      </c>
      <c r="J11" s="4">
        <f t="shared" si="0"/>
        <v>4.25</v>
      </c>
      <c r="K11" s="4">
        <f t="shared" si="0"/>
        <v>20</v>
      </c>
      <c r="L11" s="4">
        <f t="shared" si="0"/>
        <v>40.25</v>
      </c>
    </row>
    <row r="12" spans="1:12" x14ac:dyDescent="0.3">
      <c r="A12" s="5">
        <v>5</v>
      </c>
      <c r="B12" s="4">
        <f t="shared" si="1"/>
        <v>31.25</v>
      </c>
      <c r="C12" s="4">
        <f t="shared" si="0"/>
        <v>11</v>
      </c>
      <c r="D12" s="4">
        <f t="shared" si="0"/>
        <v>-4.75</v>
      </c>
      <c r="E12" s="4">
        <f t="shared" si="0"/>
        <v>-16</v>
      </c>
      <c r="F12" s="4">
        <f t="shared" si="0"/>
        <v>-22.75</v>
      </c>
      <c r="G12" s="4">
        <f t="shared" si="0"/>
        <v>-25</v>
      </c>
      <c r="H12" s="4">
        <f t="shared" si="0"/>
        <v>-22.75</v>
      </c>
      <c r="I12" s="4">
        <f t="shared" si="0"/>
        <v>-16</v>
      </c>
      <c r="J12" s="4">
        <f t="shared" si="0"/>
        <v>-4.75</v>
      </c>
      <c r="K12" s="4">
        <f t="shared" si="0"/>
        <v>11</v>
      </c>
      <c r="L12" s="4">
        <f t="shared" si="0"/>
        <v>31.25</v>
      </c>
    </row>
  </sheetData>
  <pageMargins left="0.7" right="0.7" top="0.75" bottom="0.75" header="0.3" footer="0.3"/>
  <pageSetup paperSize="9" orientation="portrait" r:id="rId1"/>
  <headerFooter>
    <oddHeader>&amp;LАннануров Даниил Петрович ИВТ 1.2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zoomScale="70" zoomScaleNormal="70" workbookViewId="0">
      <selection activeCell="T11" sqref="T11"/>
    </sheetView>
  </sheetViews>
  <sheetFormatPr defaultRowHeight="18.75" x14ac:dyDescent="0.3"/>
  <sheetData>
    <row r="1" spans="1:18" x14ac:dyDescent="0.3">
      <c r="A1" s="2"/>
      <c r="B1" s="3">
        <v>-7.5</v>
      </c>
      <c r="C1" s="3">
        <v>-6</v>
      </c>
      <c r="D1" s="3">
        <v>-4.5</v>
      </c>
      <c r="E1" s="3">
        <v>-3</v>
      </c>
      <c r="F1" s="3">
        <v>-1.5</v>
      </c>
      <c r="G1" s="3">
        <v>0</v>
      </c>
      <c r="H1" s="3">
        <v>1.5</v>
      </c>
      <c r="I1" s="3">
        <v>3</v>
      </c>
      <c r="J1" s="3">
        <v>4.5</v>
      </c>
      <c r="K1" s="3">
        <v>6</v>
      </c>
      <c r="L1" s="3">
        <v>7.5</v>
      </c>
      <c r="M1" s="3">
        <v>9</v>
      </c>
      <c r="N1" s="3">
        <v>10.5</v>
      </c>
      <c r="O1" s="3">
        <v>12</v>
      </c>
    </row>
    <row r="2" spans="1:18" x14ac:dyDescent="0.3">
      <c r="A2" s="3">
        <v>-5</v>
      </c>
      <c r="B2" s="2">
        <f>(B$1)^2/$Q$3-($A2)^2/$R$3</f>
        <v>-1.6260162601626018</v>
      </c>
      <c r="C2" s="2">
        <f t="shared" ref="C2:O17" si="0">(C$1)^2/$Q$3-($A2)^2/$R$3</f>
        <v>-1.7906504065040652</v>
      </c>
      <c r="D2" s="2">
        <f t="shared" si="0"/>
        <v>-1.9186991869918701</v>
      </c>
      <c r="E2" s="2">
        <f t="shared" si="0"/>
        <v>-2.0101626016260163</v>
      </c>
      <c r="F2" s="2">
        <f t="shared" si="0"/>
        <v>-2.0650406504065044</v>
      </c>
      <c r="G2" s="2">
        <f t="shared" si="0"/>
        <v>-2.0833333333333335</v>
      </c>
      <c r="H2" s="2">
        <f t="shared" si="0"/>
        <v>-2.0650406504065044</v>
      </c>
      <c r="I2" s="2">
        <f t="shared" si="0"/>
        <v>-2.0101626016260163</v>
      </c>
      <c r="J2" s="2">
        <f t="shared" si="0"/>
        <v>-1.9186991869918701</v>
      </c>
      <c r="K2" s="2">
        <f t="shared" si="0"/>
        <v>-1.7906504065040652</v>
      </c>
      <c r="L2" s="2">
        <f t="shared" si="0"/>
        <v>-1.6260162601626018</v>
      </c>
      <c r="M2" s="2">
        <f t="shared" si="0"/>
        <v>-1.4247967479674797</v>
      </c>
      <c r="N2" s="2">
        <f t="shared" si="0"/>
        <v>-1.1869918699186992</v>
      </c>
      <c r="O2" s="2">
        <f t="shared" si="0"/>
        <v>-0.91260162601626038</v>
      </c>
      <c r="Q2" s="3" t="s">
        <v>4</v>
      </c>
      <c r="R2" s="3" t="s">
        <v>1</v>
      </c>
    </row>
    <row r="3" spans="1:18" x14ac:dyDescent="0.3">
      <c r="A3" s="3">
        <v>-4</v>
      </c>
      <c r="B3" s="2">
        <f t="shared" ref="B3:O21" si="1">(B$1)^2/$Q$3-($A3)^2/$R$3</f>
        <v>-0.87601626016260159</v>
      </c>
      <c r="C3" s="2">
        <f t="shared" si="0"/>
        <v>-1.0406504065040649</v>
      </c>
      <c r="D3" s="2">
        <f t="shared" si="0"/>
        <v>-1.1686991869918699</v>
      </c>
      <c r="E3" s="2">
        <f t="shared" si="0"/>
        <v>-1.2601626016260161</v>
      </c>
      <c r="F3" s="2">
        <f t="shared" si="0"/>
        <v>-1.315040650406504</v>
      </c>
      <c r="G3" s="2">
        <f t="shared" si="0"/>
        <v>-1.3333333333333333</v>
      </c>
      <c r="H3" s="2">
        <f t="shared" si="0"/>
        <v>-1.315040650406504</v>
      </c>
      <c r="I3" s="2">
        <f t="shared" si="0"/>
        <v>-1.2601626016260161</v>
      </c>
      <c r="J3" s="2">
        <f t="shared" si="0"/>
        <v>-1.1686991869918699</v>
      </c>
      <c r="K3" s="2">
        <f t="shared" si="0"/>
        <v>-1.0406504065040649</v>
      </c>
      <c r="L3" s="2">
        <f t="shared" si="0"/>
        <v>-0.87601626016260159</v>
      </c>
      <c r="M3" s="2">
        <f t="shared" si="0"/>
        <v>-0.67479674796747957</v>
      </c>
      <c r="N3" s="2">
        <f t="shared" si="0"/>
        <v>-0.43699186991869909</v>
      </c>
      <c r="O3" s="2">
        <f t="shared" si="0"/>
        <v>-0.16260162601626016</v>
      </c>
      <c r="Q3" s="2">
        <v>123</v>
      </c>
      <c r="R3" s="2">
        <v>12</v>
      </c>
    </row>
    <row r="4" spans="1:18" x14ac:dyDescent="0.3">
      <c r="A4" s="3">
        <v>-3</v>
      </c>
      <c r="B4" s="2">
        <f t="shared" si="1"/>
        <v>-0.29268292682926828</v>
      </c>
      <c r="C4" s="2">
        <f t="shared" si="0"/>
        <v>-0.45731707317073172</v>
      </c>
      <c r="D4" s="2">
        <f t="shared" si="0"/>
        <v>-0.58536585365853655</v>
      </c>
      <c r="E4" s="2">
        <f t="shared" si="0"/>
        <v>-0.67682926829268297</v>
      </c>
      <c r="F4" s="2">
        <f t="shared" si="0"/>
        <v>-0.73170731707317072</v>
      </c>
      <c r="G4" s="2">
        <f t="shared" si="0"/>
        <v>-0.75</v>
      </c>
      <c r="H4" s="2">
        <f t="shared" si="0"/>
        <v>-0.73170731707317072</v>
      </c>
      <c r="I4" s="2">
        <f t="shared" si="0"/>
        <v>-0.67682926829268297</v>
      </c>
      <c r="J4" s="2">
        <f t="shared" si="0"/>
        <v>-0.58536585365853655</v>
      </c>
      <c r="K4" s="2">
        <f t="shared" si="0"/>
        <v>-0.45731707317073172</v>
      </c>
      <c r="L4" s="2">
        <f t="shared" si="0"/>
        <v>-0.29268292682926828</v>
      </c>
      <c r="M4" s="2">
        <f t="shared" si="0"/>
        <v>-9.1463414634146312E-2</v>
      </c>
      <c r="N4" s="2">
        <f t="shared" si="0"/>
        <v>0.14634146341463417</v>
      </c>
      <c r="O4" s="2">
        <f t="shared" si="0"/>
        <v>0.4207317073170731</v>
      </c>
    </row>
    <row r="5" spans="1:18" x14ac:dyDescent="0.3">
      <c r="A5" s="3">
        <v>-2</v>
      </c>
      <c r="B5" s="2">
        <f t="shared" si="1"/>
        <v>0.12398373983739841</v>
      </c>
      <c r="C5" s="2">
        <f t="shared" si="0"/>
        <v>-4.065040650406504E-2</v>
      </c>
      <c r="D5" s="2">
        <f t="shared" si="0"/>
        <v>-0.16869918699186989</v>
      </c>
      <c r="E5" s="2">
        <f t="shared" si="0"/>
        <v>-0.26016260162601623</v>
      </c>
      <c r="F5" s="2">
        <f t="shared" si="0"/>
        <v>-0.31504065040650403</v>
      </c>
      <c r="G5" s="2">
        <f t="shared" si="0"/>
        <v>-0.33333333333333331</v>
      </c>
      <c r="H5" s="2">
        <f t="shared" si="0"/>
        <v>-0.31504065040650403</v>
      </c>
      <c r="I5" s="2">
        <f t="shared" si="0"/>
        <v>-0.26016260162601623</v>
      </c>
      <c r="J5" s="2">
        <f t="shared" si="0"/>
        <v>-0.16869918699186989</v>
      </c>
      <c r="K5" s="2">
        <f t="shared" si="0"/>
        <v>-4.065040650406504E-2</v>
      </c>
      <c r="L5" s="2">
        <f t="shared" si="0"/>
        <v>0.12398373983739841</v>
      </c>
      <c r="M5" s="2">
        <f t="shared" si="0"/>
        <v>0.32520325203252037</v>
      </c>
      <c r="N5" s="2">
        <f t="shared" si="0"/>
        <v>0.56300813008130079</v>
      </c>
      <c r="O5" s="2">
        <f t="shared" si="0"/>
        <v>0.83739837398373984</v>
      </c>
    </row>
    <row r="6" spans="1:18" x14ac:dyDescent="0.3">
      <c r="A6" s="3">
        <v>-1</v>
      </c>
      <c r="B6" s="2">
        <f t="shared" si="1"/>
        <v>0.37398373983739841</v>
      </c>
      <c r="C6" s="2">
        <f t="shared" si="0"/>
        <v>0.20934959349593496</v>
      </c>
      <c r="D6" s="2">
        <f t="shared" si="0"/>
        <v>8.1300813008130093E-2</v>
      </c>
      <c r="E6" s="2">
        <f t="shared" si="0"/>
        <v>-1.016260162601626E-2</v>
      </c>
      <c r="F6" s="2">
        <f t="shared" si="0"/>
        <v>-6.5040650406504058E-2</v>
      </c>
      <c r="G6" s="2">
        <f t="shared" si="0"/>
        <v>-8.3333333333333329E-2</v>
      </c>
      <c r="H6" s="2">
        <f t="shared" si="0"/>
        <v>-6.5040650406504058E-2</v>
      </c>
      <c r="I6" s="2">
        <f t="shared" si="0"/>
        <v>-1.016260162601626E-2</v>
      </c>
      <c r="J6" s="2">
        <f t="shared" si="0"/>
        <v>8.1300813008130093E-2</v>
      </c>
      <c r="K6" s="2">
        <f t="shared" si="0"/>
        <v>0.20934959349593496</v>
      </c>
      <c r="L6" s="2">
        <f t="shared" si="0"/>
        <v>0.37398373983739841</v>
      </c>
      <c r="M6" s="2">
        <f t="shared" si="0"/>
        <v>0.57520325203252032</v>
      </c>
      <c r="N6" s="2">
        <f t="shared" si="0"/>
        <v>0.81300813008130079</v>
      </c>
      <c r="O6" s="2">
        <f t="shared" si="0"/>
        <v>1.0873983739837398</v>
      </c>
    </row>
    <row r="7" spans="1:18" x14ac:dyDescent="0.3">
      <c r="A7" s="3">
        <v>0</v>
      </c>
      <c r="B7" s="2">
        <f t="shared" si="1"/>
        <v>0.45731707317073172</v>
      </c>
      <c r="C7" s="2">
        <f t="shared" si="0"/>
        <v>0.29268292682926828</v>
      </c>
      <c r="D7" s="2">
        <f t="shared" si="0"/>
        <v>0.16463414634146342</v>
      </c>
      <c r="E7" s="2">
        <f t="shared" si="0"/>
        <v>7.3170731707317069E-2</v>
      </c>
      <c r="F7" s="2">
        <f t="shared" si="0"/>
        <v>1.8292682926829267E-2</v>
      </c>
      <c r="G7" s="2">
        <f t="shared" si="0"/>
        <v>0</v>
      </c>
      <c r="H7" s="2">
        <f t="shared" si="0"/>
        <v>1.8292682926829267E-2</v>
      </c>
      <c r="I7" s="2">
        <f t="shared" si="0"/>
        <v>7.3170731707317069E-2</v>
      </c>
      <c r="J7" s="2">
        <f t="shared" si="0"/>
        <v>0.16463414634146342</v>
      </c>
      <c r="K7" s="2">
        <f t="shared" si="0"/>
        <v>0.29268292682926828</v>
      </c>
      <c r="L7" s="2">
        <f t="shared" si="0"/>
        <v>0.45731707317073172</v>
      </c>
      <c r="M7" s="2">
        <f t="shared" si="0"/>
        <v>0.65853658536585369</v>
      </c>
      <c r="N7" s="2">
        <f t="shared" si="0"/>
        <v>0.89634146341463417</v>
      </c>
      <c r="O7" s="2">
        <f t="shared" si="0"/>
        <v>1.1707317073170731</v>
      </c>
    </row>
    <row r="8" spans="1:18" x14ac:dyDescent="0.3">
      <c r="A8" s="3">
        <v>1</v>
      </c>
      <c r="B8" s="2">
        <f t="shared" si="1"/>
        <v>0.37398373983739841</v>
      </c>
      <c r="C8" s="2">
        <f t="shared" si="0"/>
        <v>0.20934959349593496</v>
      </c>
      <c r="D8" s="2">
        <f t="shared" si="0"/>
        <v>8.1300813008130093E-2</v>
      </c>
      <c r="E8" s="2">
        <f t="shared" si="0"/>
        <v>-1.016260162601626E-2</v>
      </c>
      <c r="F8" s="2">
        <f t="shared" si="0"/>
        <v>-6.5040650406504058E-2</v>
      </c>
      <c r="G8" s="2">
        <f t="shared" si="0"/>
        <v>-8.3333333333333329E-2</v>
      </c>
      <c r="H8" s="2">
        <f t="shared" si="0"/>
        <v>-6.5040650406504058E-2</v>
      </c>
      <c r="I8" s="2">
        <f t="shared" si="0"/>
        <v>-1.016260162601626E-2</v>
      </c>
      <c r="J8" s="2">
        <f t="shared" si="0"/>
        <v>8.1300813008130093E-2</v>
      </c>
      <c r="K8" s="2">
        <f t="shared" si="0"/>
        <v>0.20934959349593496</v>
      </c>
      <c r="L8" s="2">
        <f t="shared" si="0"/>
        <v>0.37398373983739841</v>
      </c>
      <c r="M8" s="2">
        <f t="shared" si="0"/>
        <v>0.57520325203252032</v>
      </c>
      <c r="N8" s="2">
        <f t="shared" si="0"/>
        <v>0.81300813008130079</v>
      </c>
      <c r="O8" s="2">
        <f t="shared" si="0"/>
        <v>1.0873983739837398</v>
      </c>
    </row>
    <row r="9" spans="1:18" x14ac:dyDescent="0.3">
      <c r="A9" s="3">
        <v>2</v>
      </c>
      <c r="B9" s="2">
        <f t="shared" si="1"/>
        <v>0.12398373983739841</v>
      </c>
      <c r="C9" s="2">
        <f t="shared" si="0"/>
        <v>-4.065040650406504E-2</v>
      </c>
      <c r="D9" s="2">
        <f t="shared" si="0"/>
        <v>-0.16869918699186989</v>
      </c>
      <c r="E9" s="2">
        <f t="shared" si="0"/>
        <v>-0.26016260162601623</v>
      </c>
      <c r="F9" s="2">
        <f t="shared" si="0"/>
        <v>-0.31504065040650403</v>
      </c>
      <c r="G9" s="2">
        <f t="shared" si="0"/>
        <v>-0.33333333333333331</v>
      </c>
      <c r="H9" s="2">
        <f t="shared" si="0"/>
        <v>-0.31504065040650403</v>
      </c>
      <c r="I9" s="2">
        <f t="shared" si="0"/>
        <v>-0.26016260162601623</v>
      </c>
      <c r="J9" s="2">
        <f t="shared" si="0"/>
        <v>-0.16869918699186989</v>
      </c>
      <c r="K9" s="2">
        <f t="shared" si="0"/>
        <v>-4.065040650406504E-2</v>
      </c>
      <c r="L9" s="2">
        <f t="shared" si="0"/>
        <v>0.12398373983739841</v>
      </c>
      <c r="M9" s="2">
        <f t="shared" si="0"/>
        <v>0.32520325203252037</v>
      </c>
      <c r="N9" s="2">
        <f t="shared" si="0"/>
        <v>0.56300813008130079</v>
      </c>
      <c r="O9" s="2">
        <f t="shared" si="0"/>
        <v>0.83739837398373984</v>
      </c>
    </row>
    <row r="10" spans="1:18" x14ac:dyDescent="0.3">
      <c r="A10" s="3">
        <v>3</v>
      </c>
      <c r="B10" s="2">
        <f t="shared" si="1"/>
        <v>-0.29268292682926828</v>
      </c>
      <c r="C10" s="2">
        <f t="shared" si="0"/>
        <v>-0.45731707317073172</v>
      </c>
      <c r="D10" s="2">
        <f t="shared" si="0"/>
        <v>-0.58536585365853655</v>
      </c>
      <c r="E10" s="2">
        <f t="shared" si="0"/>
        <v>-0.67682926829268297</v>
      </c>
      <c r="F10" s="2">
        <f t="shared" si="0"/>
        <v>-0.73170731707317072</v>
      </c>
      <c r="G10" s="2">
        <f t="shared" si="0"/>
        <v>-0.75</v>
      </c>
      <c r="H10" s="2">
        <f t="shared" si="0"/>
        <v>-0.73170731707317072</v>
      </c>
      <c r="I10" s="2">
        <f t="shared" si="0"/>
        <v>-0.67682926829268297</v>
      </c>
      <c r="J10" s="2">
        <f t="shared" si="0"/>
        <v>-0.58536585365853655</v>
      </c>
      <c r="K10" s="2">
        <f t="shared" si="0"/>
        <v>-0.45731707317073172</v>
      </c>
      <c r="L10" s="2">
        <f t="shared" si="0"/>
        <v>-0.29268292682926828</v>
      </c>
      <c r="M10" s="2">
        <f t="shared" si="0"/>
        <v>-9.1463414634146312E-2</v>
      </c>
      <c r="N10" s="2">
        <f t="shared" si="0"/>
        <v>0.14634146341463417</v>
      </c>
      <c r="O10" s="2">
        <f t="shared" si="0"/>
        <v>0.4207317073170731</v>
      </c>
    </row>
    <row r="11" spans="1:18" x14ac:dyDescent="0.3">
      <c r="A11" s="3">
        <v>4</v>
      </c>
      <c r="B11" s="2">
        <f t="shared" si="1"/>
        <v>-0.87601626016260159</v>
      </c>
      <c r="C11" s="2">
        <f t="shared" si="0"/>
        <v>-1.0406504065040649</v>
      </c>
      <c r="D11" s="2">
        <f t="shared" si="0"/>
        <v>-1.1686991869918699</v>
      </c>
      <c r="E11" s="2">
        <f t="shared" si="0"/>
        <v>-1.2601626016260161</v>
      </c>
      <c r="F11" s="2">
        <f t="shared" si="0"/>
        <v>-1.315040650406504</v>
      </c>
      <c r="G11" s="2">
        <f t="shared" si="0"/>
        <v>-1.3333333333333333</v>
      </c>
      <c r="H11" s="2">
        <f t="shared" si="0"/>
        <v>-1.315040650406504</v>
      </c>
      <c r="I11" s="2">
        <f t="shared" si="0"/>
        <v>-1.2601626016260161</v>
      </c>
      <c r="J11" s="2">
        <f t="shared" si="0"/>
        <v>-1.1686991869918699</v>
      </c>
      <c r="K11" s="2">
        <f t="shared" si="0"/>
        <v>-1.0406504065040649</v>
      </c>
      <c r="L11" s="2">
        <f t="shared" si="0"/>
        <v>-0.87601626016260159</v>
      </c>
      <c r="M11" s="2">
        <f t="shared" si="0"/>
        <v>-0.67479674796747957</v>
      </c>
      <c r="N11" s="2">
        <f t="shared" si="0"/>
        <v>-0.43699186991869909</v>
      </c>
      <c r="O11" s="2">
        <f t="shared" si="0"/>
        <v>-0.16260162601626016</v>
      </c>
    </row>
    <row r="12" spans="1:18" x14ac:dyDescent="0.3">
      <c r="A12" s="3">
        <v>5</v>
      </c>
      <c r="B12" s="2">
        <f t="shared" si="1"/>
        <v>-1.6260162601626018</v>
      </c>
      <c r="C12" s="2">
        <f t="shared" si="0"/>
        <v>-1.7906504065040652</v>
      </c>
      <c r="D12" s="2">
        <f t="shared" si="0"/>
        <v>-1.9186991869918701</v>
      </c>
      <c r="E12" s="2">
        <f t="shared" si="0"/>
        <v>-2.0101626016260163</v>
      </c>
      <c r="F12" s="2">
        <f t="shared" si="0"/>
        <v>-2.0650406504065044</v>
      </c>
      <c r="G12" s="2">
        <f t="shared" si="0"/>
        <v>-2.0833333333333335</v>
      </c>
      <c r="H12" s="2">
        <f t="shared" si="0"/>
        <v>-2.0650406504065044</v>
      </c>
      <c r="I12" s="2">
        <f t="shared" si="0"/>
        <v>-2.0101626016260163</v>
      </c>
      <c r="J12" s="2">
        <f t="shared" si="0"/>
        <v>-1.9186991869918701</v>
      </c>
      <c r="K12" s="2">
        <f t="shared" si="0"/>
        <v>-1.7906504065040652</v>
      </c>
      <c r="L12" s="2">
        <f t="shared" si="0"/>
        <v>-1.6260162601626018</v>
      </c>
      <c r="M12" s="2">
        <f t="shared" si="0"/>
        <v>-1.4247967479674797</v>
      </c>
      <c r="N12" s="2">
        <f t="shared" si="0"/>
        <v>-1.1869918699186992</v>
      </c>
      <c r="O12" s="2">
        <f t="shared" si="0"/>
        <v>-0.91260162601626038</v>
      </c>
    </row>
    <row r="13" spans="1:18" x14ac:dyDescent="0.3">
      <c r="A13" s="3">
        <v>6</v>
      </c>
      <c r="B13" s="2">
        <f t="shared" si="1"/>
        <v>-2.5426829268292681</v>
      </c>
      <c r="C13" s="2">
        <f t="shared" si="0"/>
        <v>-2.7073170731707319</v>
      </c>
      <c r="D13" s="2">
        <f t="shared" si="0"/>
        <v>-2.8353658536585367</v>
      </c>
      <c r="E13" s="2">
        <f t="shared" si="0"/>
        <v>-2.9268292682926829</v>
      </c>
      <c r="F13" s="2">
        <f t="shared" si="0"/>
        <v>-2.9817073170731709</v>
      </c>
      <c r="G13" s="2">
        <f t="shared" si="0"/>
        <v>-3</v>
      </c>
      <c r="H13" s="2">
        <f t="shared" si="0"/>
        <v>-2.9817073170731709</v>
      </c>
      <c r="I13" s="2">
        <f t="shared" si="0"/>
        <v>-2.9268292682926829</v>
      </c>
      <c r="J13" s="2">
        <f t="shared" si="0"/>
        <v>-2.8353658536585367</v>
      </c>
      <c r="K13" s="2">
        <f t="shared" si="0"/>
        <v>-2.7073170731707319</v>
      </c>
      <c r="L13" s="2">
        <f t="shared" si="0"/>
        <v>-2.5426829268292681</v>
      </c>
      <c r="M13" s="2">
        <f t="shared" si="0"/>
        <v>-2.3414634146341462</v>
      </c>
      <c r="N13" s="2">
        <f t="shared" si="0"/>
        <v>-2.1036585365853657</v>
      </c>
      <c r="O13" s="2">
        <f t="shared" si="0"/>
        <v>-1.8292682926829269</v>
      </c>
    </row>
    <row r="14" spans="1:18" x14ac:dyDescent="0.3">
      <c r="A14" s="3">
        <v>7</v>
      </c>
      <c r="B14" s="2">
        <f t="shared" si="1"/>
        <v>-3.6260162601626011</v>
      </c>
      <c r="C14" s="2">
        <f t="shared" si="0"/>
        <v>-3.7906504065040649</v>
      </c>
      <c r="D14" s="2">
        <f t="shared" si="0"/>
        <v>-3.9186991869918697</v>
      </c>
      <c r="E14" s="2">
        <f t="shared" si="0"/>
        <v>-4.0101626016260159</v>
      </c>
      <c r="F14" s="2">
        <f t="shared" si="0"/>
        <v>-4.0650406504065035</v>
      </c>
      <c r="G14" s="2">
        <f t="shared" si="0"/>
        <v>-4.083333333333333</v>
      </c>
      <c r="H14" s="2">
        <f t="shared" si="0"/>
        <v>-4.0650406504065035</v>
      </c>
      <c r="I14" s="2">
        <f t="shared" si="0"/>
        <v>-4.0101626016260159</v>
      </c>
      <c r="J14" s="2">
        <f t="shared" si="0"/>
        <v>-3.9186991869918697</v>
      </c>
      <c r="K14" s="2">
        <f t="shared" si="0"/>
        <v>-3.7906504065040649</v>
      </c>
      <c r="L14" s="2">
        <f t="shared" si="0"/>
        <v>-3.6260162601626011</v>
      </c>
      <c r="M14" s="2">
        <f t="shared" si="0"/>
        <v>-3.4247967479674792</v>
      </c>
      <c r="N14" s="2">
        <f t="shared" si="0"/>
        <v>-3.1869918699186988</v>
      </c>
      <c r="O14" s="2">
        <f t="shared" si="0"/>
        <v>-2.9126016260162597</v>
      </c>
    </row>
    <row r="15" spans="1:18" x14ac:dyDescent="0.3">
      <c r="A15" s="3">
        <v>8</v>
      </c>
      <c r="B15" s="2">
        <f t="shared" si="1"/>
        <v>-4.8760162601626016</v>
      </c>
      <c r="C15" s="2">
        <f t="shared" si="0"/>
        <v>-5.0406504065040645</v>
      </c>
      <c r="D15" s="2">
        <f t="shared" si="0"/>
        <v>-5.1686991869918693</v>
      </c>
      <c r="E15" s="2">
        <f t="shared" si="0"/>
        <v>-5.2601626016260159</v>
      </c>
      <c r="F15" s="2">
        <f t="shared" si="0"/>
        <v>-5.3150406504065035</v>
      </c>
      <c r="G15" s="2">
        <f t="shared" si="0"/>
        <v>-5.333333333333333</v>
      </c>
      <c r="H15" s="2">
        <f t="shared" si="0"/>
        <v>-5.3150406504065035</v>
      </c>
      <c r="I15" s="2">
        <f t="shared" si="0"/>
        <v>-5.2601626016260159</v>
      </c>
      <c r="J15" s="2">
        <f t="shared" si="0"/>
        <v>-5.1686991869918693</v>
      </c>
      <c r="K15" s="2">
        <f t="shared" si="0"/>
        <v>-5.0406504065040645</v>
      </c>
      <c r="L15" s="2">
        <f t="shared" si="0"/>
        <v>-4.8760162601626016</v>
      </c>
      <c r="M15" s="2">
        <f t="shared" si="0"/>
        <v>-4.6747967479674797</v>
      </c>
      <c r="N15" s="2">
        <f t="shared" si="0"/>
        <v>-4.4369918699186988</v>
      </c>
      <c r="O15" s="2">
        <f t="shared" si="0"/>
        <v>-4.1626016260162597</v>
      </c>
    </row>
    <row r="16" spans="1:18" x14ac:dyDescent="0.3">
      <c r="A16" s="3">
        <v>9</v>
      </c>
      <c r="B16" s="2">
        <f t="shared" si="1"/>
        <v>-6.2926829268292686</v>
      </c>
      <c r="C16" s="2">
        <f t="shared" si="0"/>
        <v>-6.4573170731707314</v>
      </c>
      <c r="D16" s="2">
        <f t="shared" si="0"/>
        <v>-6.5853658536585362</v>
      </c>
      <c r="E16" s="2">
        <f t="shared" si="0"/>
        <v>-6.6768292682926829</v>
      </c>
      <c r="F16" s="2">
        <f t="shared" si="0"/>
        <v>-6.7317073170731705</v>
      </c>
      <c r="G16" s="2">
        <f t="shared" si="0"/>
        <v>-6.75</v>
      </c>
      <c r="H16" s="2">
        <f t="shared" si="0"/>
        <v>-6.7317073170731705</v>
      </c>
      <c r="I16" s="2">
        <f t="shared" si="0"/>
        <v>-6.6768292682926829</v>
      </c>
      <c r="J16" s="2">
        <f t="shared" si="0"/>
        <v>-6.5853658536585362</v>
      </c>
      <c r="K16" s="2">
        <f t="shared" si="0"/>
        <v>-6.4573170731707314</v>
      </c>
      <c r="L16" s="2">
        <f t="shared" si="0"/>
        <v>-6.2926829268292686</v>
      </c>
      <c r="M16" s="2">
        <f t="shared" si="0"/>
        <v>-6.0914634146341466</v>
      </c>
      <c r="N16" s="2">
        <f t="shared" si="0"/>
        <v>-5.8536585365853657</v>
      </c>
      <c r="O16" s="2">
        <f t="shared" si="0"/>
        <v>-5.5792682926829267</v>
      </c>
    </row>
    <row r="17" spans="1:15" x14ac:dyDescent="0.3">
      <c r="A17" s="3">
        <v>10</v>
      </c>
      <c r="B17" s="2">
        <f t="shared" si="1"/>
        <v>-7.8760162601626025</v>
      </c>
      <c r="C17" s="2">
        <f t="shared" si="0"/>
        <v>-8.0406504065040654</v>
      </c>
      <c r="D17" s="2">
        <f t="shared" si="0"/>
        <v>-8.168699186991871</v>
      </c>
      <c r="E17" s="2">
        <f t="shared" si="0"/>
        <v>-8.2601626016260177</v>
      </c>
      <c r="F17" s="2">
        <f t="shared" si="0"/>
        <v>-8.3150406504065053</v>
      </c>
      <c r="G17" s="2">
        <f t="shared" si="0"/>
        <v>-8.3333333333333339</v>
      </c>
      <c r="H17" s="2">
        <f t="shared" si="0"/>
        <v>-8.3150406504065053</v>
      </c>
      <c r="I17" s="2">
        <f t="shared" si="0"/>
        <v>-8.2601626016260177</v>
      </c>
      <c r="J17" s="2">
        <f t="shared" si="0"/>
        <v>-8.168699186991871</v>
      </c>
      <c r="K17" s="2">
        <f t="shared" si="0"/>
        <v>-8.0406504065040654</v>
      </c>
      <c r="L17" s="2">
        <f t="shared" si="0"/>
        <v>-7.8760162601626025</v>
      </c>
      <c r="M17" s="2">
        <f t="shared" si="0"/>
        <v>-7.6747967479674806</v>
      </c>
      <c r="N17" s="2">
        <f t="shared" si="0"/>
        <v>-7.4369918699186996</v>
      </c>
      <c r="O17" s="2">
        <f t="shared" si="0"/>
        <v>-7.1626016260162606</v>
      </c>
    </row>
    <row r="18" spans="1:15" x14ac:dyDescent="0.3">
      <c r="A18" s="3">
        <v>11</v>
      </c>
      <c r="B18" s="2">
        <f t="shared" si="1"/>
        <v>-9.6260162601626025</v>
      </c>
      <c r="C18" s="2">
        <f t="shared" si="1"/>
        <v>-9.7906504065040654</v>
      </c>
      <c r="D18" s="2">
        <f t="shared" si="1"/>
        <v>-9.918699186991871</v>
      </c>
      <c r="E18" s="2">
        <f t="shared" si="1"/>
        <v>-10.010162601626018</v>
      </c>
      <c r="F18" s="2">
        <f t="shared" si="1"/>
        <v>-10.065040650406505</v>
      </c>
      <c r="G18" s="2">
        <f t="shared" si="1"/>
        <v>-10.083333333333334</v>
      </c>
      <c r="H18" s="2">
        <f t="shared" si="1"/>
        <v>-10.065040650406505</v>
      </c>
      <c r="I18" s="2">
        <f t="shared" si="1"/>
        <v>-10.010162601626018</v>
      </c>
      <c r="J18" s="2">
        <f t="shared" si="1"/>
        <v>-9.918699186991871</v>
      </c>
      <c r="K18" s="2">
        <f t="shared" si="1"/>
        <v>-9.7906504065040654</v>
      </c>
      <c r="L18" s="2">
        <f t="shared" si="1"/>
        <v>-9.6260162601626025</v>
      </c>
      <c r="M18" s="2">
        <f t="shared" si="1"/>
        <v>-9.4247967479674806</v>
      </c>
      <c r="N18" s="2">
        <f t="shared" si="1"/>
        <v>-9.1869918699186996</v>
      </c>
      <c r="O18" s="2">
        <f t="shared" si="1"/>
        <v>-8.9126016260162615</v>
      </c>
    </row>
    <row r="19" spans="1:15" x14ac:dyDescent="0.3">
      <c r="A19" s="3">
        <v>12</v>
      </c>
      <c r="B19" s="2">
        <f t="shared" si="1"/>
        <v>-11.542682926829269</v>
      </c>
      <c r="C19" s="2">
        <f t="shared" si="1"/>
        <v>-11.707317073170731</v>
      </c>
      <c r="D19" s="2">
        <f t="shared" si="1"/>
        <v>-11.835365853658537</v>
      </c>
      <c r="E19" s="2">
        <f t="shared" si="1"/>
        <v>-11.926829268292684</v>
      </c>
      <c r="F19" s="2">
        <f t="shared" si="1"/>
        <v>-11.981707317073171</v>
      </c>
      <c r="G19" s="2">
        <f t="shared" si="1"/>
        <v>-12</v>
      </c>
      <c r="H19" s="2">
        <f t="shared" si="1"/>
        <v>-11.981707317073171</v>
      </c>
      <c r="I19" s="2">
        <f t="shared" si="1"/>
        <v>-11.926829268292684</v>
      </c>
      <c r="J19" s="2">
        <f t="shared" si="1"/>
        <v>-11.835365853658537</v>
      </c>
      <c r="K19" s="2">
        <f t="shared" si="1"/>
        <v>-11.707317073170731</v>
      </c>
      <c r="L19" s="2">
        <f t="shared" si="1"/>
        <v>-11.542682926829269</v>
      </c>
      <c r="M19" s="2">
        <f t="shared" si="1"/>
        <v>-11.341463414634147</v>
      </c>
      <c r="N19" s="2">
        <f t="shared" si="1"/>
        <v>-11.103658536585366</v>
      </c>
      <c r="O19" s="2">
        <f t="shared" si="1"/>
        <v>-10.829268292682928</v>
      </c>
    </row>
    <row r="20" spans="1:15" x14ac:dyDescent="0.3">
      <c r="A20" s="3">
        <v>13</v>
      </c>
      <c r="B20" s="2">
        <f t="shared" si="1"/>
        <v>-13.626016260162602</v>
      </c>
      <c r="C20" s="2">
        <f t="shared" si="1"/>
        <v>-13.790650406504065</v>
      </c>
      <c r="D20" s="2">
        <f t="shared" si="1"/>
        <v>-13.918699186991871</v>
      </c>
      <c r="E20" s="2">
        <f t="shared" si="1"/>
        <v>-14.010162601626018</v>
      </c>
      <c r="F20" s="2">
        <f t="shared" si="1"/>
        <v>-14.065040650406505</v>
      </c>
      <c r="G20" s="2">
        <f t="shared" si="1"/>
        <v>-14.083333333333334</v>
      </c>
      <c r="H20" s="2">
        <f t="shared" si="1"/>
        <v>-14.065040650406505</v>
      </c>
      <c r="I20" s="2">
        <f t="shared" si="1"/>
        <v>-14.010162601626018</v>
      </c>
      <c r="J20" s="2">
        <f t="shared" si="1"/>
        <v>-13.918699186991871</v>
      </c>
      <c r="K20" s="2">
        <f t="shared" si="1"/>
        <v>-13.790650406504065</v>
      </c>
      <c r="L20" s="2">
        <f t="shared" si="1"/>
        <v>-13.626016260162602</v>
      </c>
      <c r="M20" s="2">
        <f t="shared" si="1"/>
        <v>-13.424796747967481</v>
      </c>
      <c r="N20" s="2">
        <f t="shared" si="1"/>
        <v>-13.1869918699187</v>
      </c>
      <c r="O20" s="2">
        <f t="shared" si="1"/>
        <v>-12.912601626016261</v>
      </c>
    </row>
    <row r="21" spans="1:15" x14ac:dyDescent="0.3">
      <c r="A21" s="3">
        <v>14</v>
      </c>
      <c r="B21" s="2">
        <f t="shared" si="1"/>
        <v>-15.876016260162601</v>
      </c>
      <c r="C21" s="2">
        <f t="shared" si="1"/>
        <v>-16.040650406504064</v>
      </c>
      <c r="D21" s="2">
        <f t="shared" si="1"/>
        <v>-16.168699186991869</v>
      </c>
      <c r="E21" s="2">
        <f t="shared" si="1"/>
        <v>-16.260162601626014</v>
      </c>
      <c r="F21" s="2">
        <f t="shared" si="1"/>
        <v>-16.315040650406502</v>
      </c>
      <c r="G21" s="2">
        <f t="shared" si="1"/>
        <v>-16.333333333333332</v>
      </c>
      <c r="H21" s="2">
        <f t="shared" si="1"/>
        <v>-16.315040650406502</v>
      </c>
      <c r="I21" s="2">
        <f t="shared" si="1"/>
        <v>-16.260162601626014</v>
      </c>
      <c r="J21" s="2">
        <f t="shared" si="1"/>
        <v>-16.168699186991869</v>
      </c>
      <c r="K21" s="2">
        <f t="shared" si="1"/>
        <v>-16.040650406504064</v>
      </c>
      <c r="L21" s="2">
        <f t="shared" si="1"/>
        <v>-15.876016260162601</v>
      </c>
      <c r="M21" s="2">
        <f t="shared" si="1"/>
        <v>-15.674796747967479</v>
      </c>
      <c r="N21" s="2">
        <f t="shared" si="1"/>
        <v>-15.436991869918698</v>
      </c>
      <c r="O21" s="2">
        <f t="shared" si="1"/>
        <v>-15.16260162601626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14"/>
    </sheetView>
  </sheetViews>
  <sheetFormatPr defaultRowHeight="18.75" x14ac:dyDescent="0.3"/>
  <sheetData>
    <row r="1" spans="1:14" x14ac:dyDescent="0.3">
      <c r="A1" s="5" t="s">
        <v>2</v>
      </c>
      <c r="B1" s="4">
        <v>-10</v>
      </c>
      <c r="C1" s="4">
        <v>-5</v>
      </c>
      <c r="D1" s="4">
        <v>0</v>
      </c>
      <c r="E1" s="4">
        <v>5</v>
      </c>
      <c r="F1" s="4">
        <v>10</v>
      </c>
      <c r="G1" s="4">
        <v>15</v>
      </c>
      <c r="H1" s="4">
        <v>20</v>
      </c>
      <c r="I1" s="4">
        <v>25</v>
      </c>
      <c r="J1" s="4">
        <v>30</v>
      </c>
      <c r="K1" s="4">
        <v>35</v>
      </c>
      <c r="L1" s="4">
        <v>40</v>
      </c>
      <c r="M1" s="4">
        <v>45</v>
      </c>
      <c r="N1" s="4">
        <v>50</v>
      </c>
    </row>
    <row r="2" spans="1:14" x14ac:dyDescent="0.3">
      <c r="A2" s="5" t="s">
        <v>3</v>
      </c>
      <c r="B2" s="4">
        <f>7-ABS(B1)</f>
        <v>-3</v>
      </c>
      <c r="C2" s="4">
        <f t="shared" ref="C2:N2" si="0">7-ABS(C1)</f>
        <v>2</v>
      </c>
      <c r="D2" s="4">
        <f t="shared" si="0"/>
        <v>7</v>
      </c>
      <c r="E2" s="4">
        <f t="shared" si="0"/>
        <v>2</v>
      </c>
      <c r="F2" s="4">
        <f t="shared" si="0"/>
        <v>-3</v>
      </c>
      <c r="G2" s="4">
        <f t="shared" si="0"/>
        <v>-8</v>
      </c>
      <c r="H2" s="4">
        <f t="shared" si="0"/>
        <v>-13</v>
      </c>
      <c r="I2" s="4">
        <f t="shared" si="0"/>
        <v>-18</v>
      </c>
      <c r="J2" s="4">
        <f t="shared" si="0"/>
        <v>-23</v>
      </c>
      <c r="K2" s="4">
        <f t="shared" si="0"/>
        <v>-28</v>
      </c>
      <c r="L2" s="4">
        <f t="shared" si="0"/>
        <v>-33</v>
      </c>
      <c r="M2" s="4">
        <f t="shared" si="0"/>
        <v>-38</v>
      </c>
      <c r="N2" s="4">
        <f t="shared" si="0"/>
        <v>-43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Задание 2</vt:lpstr>
      <vt:lpstr>Задания 3</vt:lpstr>
      <vt:lpstr>Задание3.2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Аннануров</dc:creator>
  <cp:lastModifiedBy>Даниил Аннануров</cp:lastModifiedBy>
  <dcterms:created xsi:type="dcterms:W3CDTF">2022-09-16T05:35:58Z</dcterms:created>
  <dcterms:modified xsi:type="dcterms:W3CDTF">2022-09-17T20:56:45Z</dcterms:modified>
</cp:coreProperties>
</file>