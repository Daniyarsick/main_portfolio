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Задание 1" sheetId="1" r:id="rId1"/>
    <sheet name="Задание 2" sheetId="2" r:id="rId2"/>
    <sheet name="Задание 3" sheetId="3" r:id="rId3"/>
    <sheet name="Задание 4" sheetId="4" r:id="rId4"/>
    <sheet name="Задание 5" sheetId="5" r:id="rId5"/>
    <sheet name="Задание 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6" l="1"/>
  <c r="G23" i="6" a="1"/>
  <c r="G23" i="6"/>
  <c r="H23" i="6"/>
  <c r="I23" i="6"/>
  <c r="G24" i="6"/>
  <c r="H24" i="6"/>
  <c r="I24" i="6"/>
  <c r="G25" i="6"/>
  <c r="H25" i="6"/>
  <c r="I25" i="6"/>
  <c r="G18" i="6" a="1"/>
  <c r="G18" i="6" s="1"/>
  <c r="H18" i="6"/>
  <c r="G19" i="6"/>
  <c r="H19" i="6"/>
  <c r="G11" i="6" a="1"/>
  <c r="G11" i="6" s="1"/>
  <c r="J11" i="6"/>
  <c r="I12" i="6"/>
  <c r="H13" i="6"/>
  <c r="G14" i="6"/>
  <c r="K14" i="6"/>
  <c r="J15" i="6"/>
  <c r="G3" i="6" a="1"/>
  <c r="G3" i="6"/>
  <c r="H3" i="6"/>
  <c r="I3" i="6"/>
  <c r="J3" i="6"/>
  <c r="K3" i="6"/>
  <c r="G4" i="6"/>
  <c r="H4" i="6"/>
  <c r="I4" i="6"/>
  <c r="J4" i="6"/>
  <c r="K4" i="6"/>
  <c r="G5" i="6"/>
  <c r="H5" i="6"/>
  <c r="I5" i="6"/>
  <c r="J5" i="6"/>
  <c r="K5" i="6"/>
  <c r="G6" i="6"/>
  <c r="H6" i="6"/>
  <c r="I6" i="6"/>
  <c r="J6" i="6"/>
  <c r="K6" i="6"/>
  <c r="G7" i="6"/>
  <c r="H7" i="6"/>
  <c r="I7" i="6"/>
  <c r="J7" i="6"/>
  <c r="K7" i="6"/>
  <c r="I27" i="5"/>
  <c r="I23" i="5"/>
  <c r="I18" i="5"/>
  <c r="I10" i="5"/>
  <c r="I3" i="5"/>
  <c r="F28" i="4" a="1"/>
  <c r="F28" i="4" s="1"/>
  <c r="H19" i="4" a="1"/>
  <c r="H19" i="4" s="1"/>
  <c r="H11" i="4" a="1"/>
  <c r="H11" i="4" s="1"/>
  <c r="J11" i="4"/>
  <c r="H12" i="4"/>
  <c r="H13" i="4"/>
  <c r="I13" i="4"/>
  <c r="I14" i="4"/>
  <c r="J14" i="4"/>
  <c r="H3" i="4" a="1"/>
  <c r="H3" i="4" s="1"/>
  <c r="J3" i="4"/>
  <c r="K3" i="4"/>
  <c r="I4" i="4"/>
  <c r="J4" i="4"/>
  <c r="H5" i="4"/>
  <c r="I5" i="4"/>
  <c r="L5" i="4"/>
  <c r="H6" i="4"/>
  <c r="L6" i="4"/>
  <c r="K7" i="4"/>
  <c r="L11" i="3" a="1"/>
  <c r="L11" i="3" s="1"/>
  <c r="L32" i="3" a="1"/>
  <c r="L32" i="3" s="1"/>
  <c r="N32" i="3"/>
  <c r="O32" i="3"/>
  <c r="N33" i="3"/>
  <c r="O33" i="3"/>
  <c r="N34" i="3"/>
  <c r="O34" i="3"/>
  <c r="N35" i="3"/>
  <c r="O35" i="3"/>
  <c r="L24" i="3" a="1"/>
  <c r="L24" i="3" s="1"/>
  <c r="L25" i="3"/>
  <c r="M26" i="3"/>
  <c r="M19" i="3" a="1"/>
  <c r="N20" i="3" s="1"/>
  <c r="N3" i="3" a="1"/>
  <c r="N3" i="3" s="1"/>
  <c r="L11" i="2" a="1"/>
  <c r="L11" i="2" s="1"/>
  <c r="N11" i="2"/>
  <c r="O11" i="2"/>
  <c r="R11" i="2"/>
  <c r="L12" i="2"/>
  <c r="O12" i="2"/>
  <c r="P12" i="2"/>
  <c r="L13" i="2"/>
  <c r="M13" i="2"/>
  <c r="P13" i="2"/>
  <c r="Q13" i="2"/>
  <c r="M14" i="2"/>
  <c r="N14" i="2"/>
  <c r="Q14" i="2"/>
  <c r="R14" i="2"/>
  <c r="N15" i="2"/>
  <c r="O15" i="2"/>
  <c r="R15" i="2"/>
  <c r="L16" i="2"/>
  <c r="O16" i="2"/>
  <c r="P16" i="2"/>
  <c r="L17" i="2"/>
  <c r="M17" i="2"/>
  <c r="P17" i="2"/>
  <c r="Q17" i="2"/>
  <c r="H11" i="2" a="1"/>
  <c r="H11" i="2" s="1"/>
  <c r="H12" i="2"/>
  <c r="I12" i="2"/>
  <c r="A11" i="2" a="1"/>
  <c r="A11" i="2" s="1"/>
  <c r="C11" i="2"/>
  <c r="D11" i="2"/>
  <c r="A12" i="2"/>
  <c r="B12" i="2"/>
  <c r="E12" i="2"/>
  <c r="F12" i="2"/>
  <c r="C13" i="2"/>
  <c r="D13" i="2"/>
  <c r="A14" i="2"/>
  <c r="B14" i="2"/>
  <c r="E14" i="2"/>
  <c r="F14" i="2"/>
  <c r="C15" i="2"/>
  <c r="D15" i="2"/>
  <c r="A16" i="2"/>
  <c r="B16" i="2"/>
  <c r="E16" i="2"/>
  <c r="F16" i="2"/>
  <c r="G3" i="2" a="1"/>
  <c r="H3" i="2" s="1"/>
  <c r="G3" i="2"/>
  <c r="I3" i="2"/>
  <c r="J3" i="2"/>
  <c r="K3" i="2"/>
  <c r="H4" i="2"/>
  <c r="I4" i="2"/>
  <c r="J4" i="2"/>
  <c r="G5" i="2"/>
  <c r="H5" i="2"/>
  <c r="I5" i="2"/>
  <c r="K5" i="2"/>
  <c r="G6" i="2"/>
  <c r="H6" i="2"/>
  <c r="J6" i="2"/>
  <c r="K6" i="2"/>
  <c r="G7" i="2"/>
  <c r="I7" i="2"/>
  <c r="J7" i="2"/>
  <c r="K7" i="2"/>
  <c r="A3" i="2" a="1"/>
  <c r="A3" i="2" s="1"/>
  <c r="C3" i="2"/>
  <c r="A4" i="2"/>
  <c r="A5" i="2"/>
  <c r="B5" i="2"/>
  <c r="R38" i="1"/>
  <c r="S38" i="1"/>
  <c r="T38" i="1"/>
  <c r="R39" i="1"/>
  <c r="S39" i="1"/>
  <c r="T39" i="1"/>
  <c r="R40" i="1"/>
  <c r="S40" i="1"/>
  <c r="T40" i="1"/>
  <c r="S37" i="1"/>
  <c r="T37" i="1"/>
  <c r="R37" i="1"/>
  <c r="P27" i="1"/>
  <c r="P28" i="1"/>
  <c r="P29" i="1"/>
  <c r="P30" i="1"/>
  <c r="P31" i="1"/>
  <c r="P32" i="1"/>
  <c r="O28" i="1"/>
  <c r="O29" i="1"/>
  <c r="O30" i="1"/>
  <c r="O31" i="1"/>
  <c r="O32" i="1"/>
  <c r="O27" i="1"/>
  <c r="W20" i="1"/>
  <c r="X20" i="1"/>
  <c r="Y20" i="1"/>
  <c r="W21" i="1"/>
  <c r="X21" i="1"/>
  <c r="Y21" i="1"/>
  <c r="W22" i="1"/>
  <c r="X22" i="1"/>
  <c r="Y22" i="1"/>
  <c r="V21" i="1"/>
  <c r="V22" i="1"/>
  <c r="V20" i="1"/>
  <c r="S13" i="1"/>
  <c r="T13" i="1"/>
  <c r="S14" i="1"/>
  <c r="T14" i="1"/>
  <c r="S15" i="1"/>
  <c r="T15" i="1"/>
  <c r="S16" i="1"/>
  <c r="T16" i="1"/>
  <c r="R14" i="1"/>
  <c r="R15" i="1"/>
  <c r="R16" i="1"/>
  <c r="R13" i="1"/>
  <c r="N38" i="1"/>
  <c r="O38" i="1"/>
  <c r="P38" i="1"/>
  <c r="N39" i="1"/>
  <c r="O39" i="1"/>
  <c r="P39" i="1"/>
  <c r="N40" i="1"/>
  <c r="O40" i="1"/>
  <c r="P40" i="1"/>
  <c r="O37" i="1"/>
  <c r="P37" i="1"/>
  <c r="N37" i="1"/>
  <c r="K28" i="1"/>
  <c r="L28" i="1"/>
  <c r="K29" i="1"/>
  <c r="L29" i="1"/>
  <c r="K30" i="1"/>
  <c r="L30" i="1"/>
  <c r="K31" i="1"/>
  <c r="L31" i="1"/>
  <c r="K32" i="1"/>
  <c r="L32" i="1"/>
  <c r="L27" i="1"/>
  <c r="K27" i="1"/>
  <c r="Q21" i="1"/>
  <c r="R21" i="1"/>
  <c r="S21" i="1"/>
  <c r="T21" i="1"/>
  <c r="Q22" i="1"/>
  <c r="R22" i="1"/>
  <c r="S22" i="1"/>
  <c r="T22" i="1"/>
  <c r="R20" i="1"/>
  <c r="S20" i="1"/>
  <c r="T20" i="1"/>
  <c r="Q20" i="1"/>
  <c r="N14" i="1"/>
  <c r="O14" i="1"/>
  <c r="P14" i="1"/>
  <c r="N15" i="1"/>
  <c r="O15" i="1"/>
  <c r="P15" i="1"/>
  <c r="N16" i="1"/>
  <c r="O16" i="1"/>
  <c r="P16" i="1"/>
  <c r="O13" i="1"/>
  <c r="P13" i="1"/>
  <c r="N13" i="1"/>
  <c r="J38" i="1"/>
  <c r="K38" i="1"/>
  <c r="L38" i="1"/>
  <c r="J39" i="1"/>
  <c r="K39" i="1"/>
  <c r="L39" i="1"/>
  <c r="J40" i="1"/>
  <c r="K40" i="1"/>
  <c r="L40" i="1"/>
  <c r="K37" i="1"/>
  <c r="L37" i="1"/>
  <c r="J37" i="1"/>
  <c r="H28" i="1"/>
  <c r="I28" i="1"/>
  <c r="H29" i="1"/>
  <c r="I29" i="1"/>
  <c r="H30" i="1"/>
  <c r="I30" i="1"/>
  <c r="H31" i="1"/>
  <c r="I31" i="1"/>
  <c r="H32" i="1"/>
  <c r="I32" i="1"/>
  <c r="I27" i="1"/>
  <c r="H27" i="1"/>
  <c r="M20" i="1"/>
  <c r="N20" i="1"/>
  <c r="O20" i="1"/>
  <c r="M21" i="1"/>
  <c r="N21" i="1"/>
  <c r="O21" i="1"/>
  <c r="M22" i="1"/>
  <c r="N22" i="1"/>
  <c r="O22" i="1"/>
  <c r="L21" i="1"/>
  <c r="L22" i="1"/>
  <c r="L20" i="1"/>
  <c r="J14" i="1"/>
  <c r="K14" i="1"/>
  <c r="L14" i="1"/>
  <c r="J15" i="1"/>
  <c r="K15" i="1"/>
  <c r="L15" i="1"/>
  <c r="J16" i="1"/>
  <c r="K16" i="1"/>
  <c r="L16" i="1"/>
  <c r="K13" i="1"/>
  <c r="L13" i="1"/>
  <c r="J13" i="1"/>
  <c r="AB3" i="1"/>
  <c r="AC3" i="1"/>
  <c r="AD3" i="1"/>
  <c r="AE3" i="1"/>
  <c r="AB4" i="1"/>
  <c r="AC4" i="1"/>
  <c r="AD4" i="1"/>
  <c r="AE4" i="1"/>
  <c r="AB5" i="1"/>
  <c r="AC5" i="1"/>
  <c r="AD5" i="1"/>
  <c r="AE5" i="1"/>
  <c r="AB6" i="1"/>
  <c r="AC6" i="1"/>
  <c r="AD6" i="1"/>
  <c r="AE6" i="1"/>
  <c r="AB7" i="1"/>
  <c r="AC7" i="1"/>
  <c r="AD7" i="1"/>
  <c r="AE7" i="1"/>
  <c r="AA4" i="1"/>
  <c r="AA5" i="1"/>
  <c r="AA6" i="1"/>
  <c r="AA7" i="1"/>
  <c r="AA3" i="1"/>
  <c r="T4" i="1"/>
  <c r="U4" i="1"/>
  <c r="V4" i="1"/>
  <c r="W4" i="1"/>
  <c r="X4" i="1"/>
  <c r="T5" i="1"/>
  <c r="U5" i="1"/>
  <c r="V5" i="1"/>
  <c r="W5" i="1"/>
  <c r="X5" i="1"/>
  <c r="T6" i="1"/>
  <c r="U6" i="1"/>
  <c r="V6" i="1"/>
  <c r="W6" i="1"/>
  <c r="X6" i="1"/>
  <c r="T7" i="1"/>
  <c r="U7" i="1"/>
  <c r="V7" i="1"/>
  <c r="W7" i="1"/>
  <c r="X7" i="1"/>
  <c r="U3" i="1"/>
  <c r="V3" i="1"/>
  <c r="W3" i="1"/>
  <c r="X3" i="1"/>
  <c r="T3" i="1"/>
  <c r="N4" i="1"/>
  <c r="O4" i="1"/>
  <c r="P4" i="1"/>
  <c r="Q4" i="1"/>
  <c r="R4" i="1"/>
  <c r="N5" i="1"/>
  <c r="O5" i="1"/>
  <c r="P5" i="1"/>
  <c r="Q5" i="1"/>
  <c r="R5" i="1"/>
  <c r="N6" i="1"/>
  <c r="O6" i="1"/>
  <c r="P6" i="1"/>
  <c r="Q6" i="1"/>
  <c r="R6" i="1"/>
  <c r="N7" i="1"/>
  <c r="O7" i="1"/>
  <c r="P7" i="1"/>
  <c r="Q7" i="1"/>
  <c r="R7" i="1"/>
  <c r="O3" i="1"/>
  <c r="P3" i="1"/>
  <c r="Q3" i="1"/>
  <c r="R3" i="1"/>
  <c r="N3" i="1"/>
  <c r="I15" i="6" l="1"/>
  <c r="J14" i="6"/>
  <c r="K13" i="6"/>
  <c r="G13" i="6"/>
  <c r="I11" i="6"/>
  <c r="H15" i="6"/>
  <c r="I14" i="6"/>
  <c r="J13" i="6"/>
  <c r="K12" i="6"/>
  <c r="G12" i="6"/>
  <c r="H11" i="6"/>
  <c r="H12" i="6"/>
  <c r="K15" i="6"/>
  <c r="G15" i="6"/>
  <c r="H14" i="6"/>
  <c r="I13" i="6"/>
  <c r="J12" i="6"/>
  <c r="K11" i="6"/>
  <c r="H28" i="4"/>
  <c r="G30" i="4"/>
  <c r="G29" i="4"/>
  <c r="G28" i="4"/>
  <c r="I30" i="4"/>
  <c r="I29" i="4"/>
  <c r="I28" i="4"/>
  <c r="H30" i="4"/>
  <c r="H29" i="4"/>
  <c r="F30" i="4"/>
  <c r="F29" i="4"/>
  <c r="M20" i="4"/>
  <c r="I20" i="4"/>
  <c r="K19" i="4"/>
  <c r="L20" i="4"/>
  <c r="H20" i="4"/>
  <c r="J19" i="4"/>
  <c r="K20" i="4"/>
  <c r="M19" i="4"/>
  <c r="I19" i="4"/>
  <c r="J20" i="4"/>
  <c r="L19" i="4"/>
  <c r="H14" i="4"/>
  <c r="J12" i="4"/>
  <c r="I11" i="4"/>
  <c r="J13" i="4"/>
  <c r="I12" i="4"/>
  <c r="J7" i="4"/>
  <c r="I7" i="4"/>
  <c r="J6" i="4"/>
  <c r="K5" i="4"/>
  <c r="L4" i="4"/>
  <c r="H4" i="4"/>
  <c r="I3" i="4"/>
  <c r="K6" i="4"/>
  <c r="L7" i="4"/>
  <c r="H7" i="4"/>
  <c r="I6" i="4"/>
  <c r="J5" i="4"/>
  <c r="K4" i="4"/>
  <c r="L3" i="4"/>
  <c r="O14" i="3"/>
  <c r="O12" i="3"/>
  <c r="N14" i="3"/>
  <c r="N11" i="3"/>
  <c r="M14" i="3"/>
  <c r="M13" i="3"/>
  <c r="M12" i="3"/>
  <c r="M11" i="3"/>
  <c r="O13" i="3"/>
  <c r="O11" i="3"/>
  <c r="N13" i="3"/>
  <c r="N12" i="3"/>
  <c r="L14" i="3"/>
  <c r="L13" i="3"/>
  <c r="L12" i="3"/>
  <c r="M35" i="3"/>
  <c r="M34" i="3"/>
  <c r="M33" i="3"/>
  <c r="M32" i="3"/>
  <c r="L35" i="3"/>
  <c r="L34" i="3"/>
  <c r="L33" i="3"/>
  <c r="N24" i="3"/>
  <c r="N25" i="3"/>
  <c r="M24" i="3"/>
  <c r="L26" i="3"/>
  <c r="N26" i="3"/>
  <c r="M25" i="3"/>
  <c r="M20" i="3"/>
  <c r="N19" i="3"/>
  <c r="M19" i="3"/>
  <c r="Q7" i="3"/>
  <c r="N6" i="3"/>
  <c r="P4" i="3"/>
  <c r="P7" i="3"/>
  <c r="Q6" i="3"/>
  <c r="N5" i="3"/>
  <c r="O4" i="3"/>
  <c r="P3" i="3"/>
  <c r="O7" i="3"/>
  <c r="P6" i="3"/>
  <c r="Q5" i="3"/>
  <c r="R4" i="3"/>
  <c r="N4" i="3"/>
  <c r="O3" i="3"/>
  <c r="R6" i="3"/>
  <c r="O5" i="3"/>
  <c r="Q3" i="3"/>
  <c r="R5" i="3"/>
  <c r="R7" i="3"/>
  <c r="N7" i="3"/>
  <c r="O6" i="3"/>
  <c r="P5" i="3"/>
  <c r="Q4" i="3"/>
  <c r="R3" i="3"/>
  <c r="O17" i="2"/>
  <c r="R16" i="2"/>
  <c r="N16" i="2"/>
  <c r="Q15" i="2"/>
  <c r="M15" i="2"/>
  <c r="P14" i="2"/>
  <c r="L14" i="2"/>
  <c r="O13" i="2"/>
  <c r="R12" i="2"/>
  <c r="N12" i="2"/>
  <c r="Q11" i="2"/>
  <c r="M11" i="2"/>
  <c r="R17" i="2"/>
  <c r="N17" i="2"/>
  <c r="Q16" i="2"/>
  <c r="M16" i="2"/>
  <c r="P15" i="2"/>
  <c r="L15" i="2"/>
  <c r="O14" i="2"/>
  <c r="R13" i="2"/>
  <c r="N13" i="2"/>
  <c r="Q12" i="2"/>
  <c r="M12" i="2"/>
  <c r="P11" i="2"/>
  <c r="I11" i="2"/>
  <c r="D16" i="2"/>
  <c r="F15" i="2"/>
  <c r="B15" i="2"/>
  <c r="D14" i="2"/>
  <c r="F13" i="2"/>
  <c r="B13" i="2"/>
  <c r="D12" i="2"/>
  <c r="F11" i="2"/>
  <c r="B11" i="2"/>
  <c r="C16" i="2"/>
  <c r="E15" i="2"/>
  <c r="A15" i="2"/>
  <c r="C14" i="2"/>
  <c r="E13" i="2"/>
  <c r="A13" i="2"/>
  <c r="C12" i="2"/>
  <c r="E11" i="2"/>
  <c r="H7" i="2"/>
  <c r="I6" i="2"/>
  <c r="J5" i="2"/>
  <c r="K4" i="2"/>
  <c r="G4" i="2"/>
  <c r="C4" i="2"/>
  <c r="B3" i="2"/>
  <c r="C5" i="2"/>
  <c r="B4" i="2"/>
</calcChain>
</file>

<file path=xl/sharedStrings.xml><?xml version="1.0" encoding="utf-8"?>
<sst xmlns="http://schemas.openxmlformats.org/spreadsheetml/2006/main" count="78" uniqueCount="13">
  <si>
    <t>Матрица А</t>
  </si>
  <si>
    <t>Матрица В</t>
  </si>
  <si>
    <t>Матрица С = А + В</t>
  </si>
  <si>
    <t>Матрица D = A - B</t>
  </si>
  <si>
    <t>k</t>
  </si>
  <si>
    <t>Матрица О = A * k</t>
  </si>
  <si>
    <t>Единичная матрица</t>
  </si>
  <si>
    <t>Матрица B</t>
  </si>
  <si>
    <t>Матрица С = А * В</t>
  </si>
  <si>
    <r>
      <t>Матрица С = А</t>
    </r>
    <r>
      <rPr>
        <b/>
        <vertAlign val="superscript"/>
        <sz val="12"/>
        <color theme="1"/>
        <rFont val="Calibri"/>
        <family val="2"/>
        <charset val="204"/>
        <scheme val="minor"/>
      </rPr>
      <t>т</t>
    </r>
  </si>
  <si>
    <t>Матрица A</t>
  </si>
  <si>
    <t>Определитель</t>
  </si>
  <si>
    <t>Обратная матрица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</si>
</sst>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vertAlign val="superscript"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30303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"/>
  <sheetViews>
    <sheetView tabSelected="1" zoomScaleNormal="100" workbookViewId="0">
      <selection activeCell="F9" sqref="F9:G9"/>
    </sheetView>
  </sheetViews>
  <sheetFormatPr defaultRowHeight="15.6" x14ac:dyDescent="0.3"/>
  <cols>
    <col min="1" max="1" width="12.77734375" style="3" customWidth="1"/>
    <col min="2" max="2" width="9.109375" style="3" bestFit="1" customWidth="1"/>
    <col min="3" max="3" width="11.77734375" style="3" bestFit="1" customWidth="1"/>
    <col min="4" max="10" width="9.109375" style="3" bestFit="1" customWidth="1"/>
    <col min="11" max="11" width="9" style="3" bestFit="1" customWidth="1"/>
    <col min="12" max="12" width="11.6640625" style="3" bestFit="1" customWidth="1"/>
    <col min="13" max="13" width="9" style="3" bestFit="1" customWidth="1"/>
    <col min="14" max="14" width="12.44140625" style="3" bestFit="1" customWidth="1"/>
    <col min="15" max="15" width="9" style="3" bestFit="1" customWidth="1"/>
    <col min="16" max="16" width="11.6640625" style="3" bestFit="1" customWidth="1"/>
    <col min="17" max="19" width="9" style="3" bestFit="1" customWidth="1"/>
    <col min="20" max="20" width="13.109375" style="3" bestFit="1" customWidth="1"/>
    <col min="21" max="28" width="9" style="3" bestFit="1" customWidth="1"/>
    <col min="29" max="29" width="21.33203125" style="3" customWidth="1"/>
    <col min="30" max="31" width="9" style="3" bestFit="1" customWidth="1"/>
    <col min="32" max="16384" width="8.88671875" style="3"/>
  </cols>
  <sheetData>
    <row r="1" spans="1:31" x14ac:dyDescent="0.3">
      <c r="A1" s="3" t="s">
        <v>0</v>
      </c>
      <c r="G1" s="3" t="s">
        <v>1</v>
      </c>
      <c r="N1" s="3" t="s">
        <v>2</v>
      </c>
      <c r="T1" s="3" t="s">
        <v>3</v>
      </c>
      <c r="AA1" s="4" t="s">
        <v>4</v>
      </c>
      <c r="AB1" s="4">
        <v>2</v>
      </c>
      <c r="AC1" s="3" t="s">
        <v>5</v>
      </c>
    </row>
    <row r="3" spans="1:31" x14ac:dyDescent="0.3">
      <c r="A3" s="4">
        <v>3</v>
      </c>
      <c r="B3" s="4">
        <v>2</v>
      </c>
      <c r="C3" s="4">
        <v>1</v>
      </c>
      <c r="D3" s="4">
        <v>1</v>
      </c>
      <c r="E3" s="4">
        <v>2</v>
      </c>
      <c r="G3" s="4">
        <v>1</v>
      </c>
      <c r="H3" s="4">
        <v>1</v>
      </c>
      <c r="I3" s="4">
        <v>1</v>
      </c>
      <c r="J3" s="4">
        <v>1</v>
      </c>
      <c r="K3" s="4">
        <v>21</v>
      </c>
      <c r="N3" s="4">
        <f>A3+G3</f>
        <v>4</v>
      </c>
      <c r="O3" s="4">
        <f t="shared" ref="O3:R3" si="0">B3+H3</f>
        <v>3</v>
      </c>
      <c r="P3" s="4">
        <f t="shared" si="0"/>
        <v>2</v>
      </c>
      <c r="Q3" s="4">
        <f t="shared" si="0"/>
        <v>2</v>
      </c>
      <c r="R3" s="4">
        <f t="shared" si="0"/>
        <v>23</v>
      </c>
      <c r="T3" s="4">
        <f>A3-G3</f>
        <v>2</v>
      </c>
      <c r="U3" s="4">
        <f t="shared" ref="U3:X3" si="1">B3-H3</f>
        <v>1</v>
      </c>
      <c r="V3" s="4">
        <f t="shared" si="1"/>
        <v>0</v>
      </c>
      <c r="W3" s="4">
        <f t="shared" si="1"/>
        <v>0</v>
      </c>
      <c r="X3" s="4">
        <f t="shared" si="1"/>
        <v>-19</v>
      </c>
      <c r="AA3" s="4">
        <f>$AB$1*A3</f>
        <v>6</v>
      </c>
      <c r="AB3" s="4">
        <f t="shared" ref="AB3:AF7" si="2">$AB$1*B3</f>
        <v>4</v>
      </c>
      <c r="AC3" s="4">
        <f t="shared" si="2"/>
        <v>2</v>
      </c>
      <c r="AD3" s="4">
        <f t="shared" si="2"/>
        <v>2</v>
      </c>
      <c r="AE3" s="4">
        <f t="shared" si="2"/>
        <v>4</v>
      </c>
    </row>
    <row r="4" spans="1:31" x14ac:dyDescent="0.3">
      <c r="A4" s="4">
        <v>5</v>
      </c>
      <c r="B4" s="4">
        <v>1</v>
      </c>
      <c r="C4" s="4">
        <v>5</v>
      </c>
      <c r="D4" s="4">
        <v>6</v>
      </c>
      <c r="E4" s="4">
        <v>8</v>
      </c>
      <c r="G4" s="4">
        <v>6</v>
      </c>
      <c r="H4" s="4">
        <v>5</v>
      </c>
      <c r="I4" s="4">
        <v>4</v>
      </c>
      <c r="J4" s="4">
        <v>2</v>
      </c>
      <c r="K4" s="4">
        <v>4</v>
      </c>
      <c r="N4" s="4">
        <f t="shared" ref="N4:N7" si="3">A4+G4</f>
        <v>11</v>
      </c>
      <c r="O4" s="4">
        <f t="shared" ref="O4:O7" si="4">B4+H4</f>
        <v>6</v>
      </c>
      <c r="P4" s="4">
        <f t="shared" ref="P4:P7" si="5">C4+I4</f>
        <v>9</v>
      </c>
      <c r="Q4" s="4">
        <f t="shared" ref="Q4:Q7" si="6">D4+J4</f>
        <v>8</v>
      </c>
      <c r="R4" s="4">
        <f t="shared" ref="R4:S7" si="7">E4+K4</f>
        <v>12</v>
      </c>
      <c r="T4" s="4">
        <f t="shared" ref="T4:T7" si="8">A4-G4</f>
        <v>-1</v>
      </c>
      <c r="U4" s="4">
        <f t="shared" ref="U4:U7" si="9">B4-H4</f>
        <v>-4</v>
      </c>
      <c r="V4" s="4">
        <f t="shared" ref="V4:V7" si="10">C4-I4</f>
        <v>1</v>
      </c>
      <c r="W4" s="4">
        <f t="shared" ref="W4:W7" si="11">D4-J4</f>
        <v>4</v>
      </c>
      <c r="X4" s="4">
        <f t="shared" ref="X4:X7" si="12">E4-K4</f>
        <v>4</v>
      </c>
      <c r="AA4" s="4">
        <f t="shared" ref="AA4:AA7" si="13">$AB$1*A4</f>
        <v>10</v>
      </c>
      <c r="AB4" s="4">
        <f t="shared" si="2"/>
        <v>2</v>
      </c>
      <c r="AC4" s="4">
        <f t="shared" si="2"/>
        <v>10</v>
      </c>
      <c r="AD4" s="4">
        <f t="shared" si="2"/>
        <v>12</v>
      </c>
      <c r="AE4" s="4">
        <f t="shared" si="2"/>
        <v>16</v>
      </c>
    </row>
    <row r="5" spans="1:31" x14ac:dyDescent="0.3">
      <c r="A5" s="4">
        <v>1</v>
      </c>
      <c r="B5" s="4">
        <v>2</v>
      </c>
      <c r="C5" s="4">
        <v>5</v>
      </c>
      <c r="D5" s="4">
        <v>1</v>
      </c>
      <c r="E5" s="4">
        <v>3</v>
      </c>
      <c r="G5" s="4">
        <v>6</v>
      </c>
      <c r="H5" s="4">
        <v>23</v>
      </c>
      <c r="I5" s="4">
        <v>3</v>
      </c>
      <c r="J5" s="4">
        <v>2</v>
      </c>
      <c r="K5" s="4">
        <v>21</v>
      </c>
      <c r="N5" s="4">
        <f t="shared" si="3"/>
        <v>7</v>
      </c>
      <c r="O5" s="4">
        <f t="shared" si="4"/>
        <v>25</v>
      </c>
      <c r="P5" s="4">
        <f t="shared" si="5"/>
        <v>8</v>
      </c>
      <c r="Q5" s="4">
        <f t="shared" si="6"/>
        <v>3</v>
      </c>
      <c r="R5" s="4">
        <f t="shared" si="7"/>
        <v>24</v>
      </c>
      <c r="T5" s="4">
        <f t="shared" si="8"/>
        <v>-5</v>
      </c>
      <c r="U5" s="4">
        <f t="shared" si="9"/>
        <v>-21</v>
      </c>
      <c r="V5" s="4">
        <f t="shared" si="10"/>
        <v>2</v>
      </c>
      <c r="W5" s="4">
        <f t="shared" si="11"/>
        <v>-1</v>
      </c>
      <c r="X5" s="4">
        <f t="shared" si="12"/>
        <v>-18</v>
      </c>
      <c r="AA5" s="4">
        <f t="shared" si="13"/>
        <v>2</v>
      </c>
      <c r="AB5" s="4">
        <f t="shared" si="2"/>
        <v>4</v>
      </c>
      <c r="AC5" s="4">
        <f t="shared" si="2"/>
        <v>10</v>
      </c>
      <c r="AD5" s="4">
        <f t="shared" si="2"/>
        <v>2</v>
      </c>
      <c r="AE5" s="4">
        <f t="shared" si="2"/>
        <v>6</v>
      </c>
    </row>
    <row r="6" spans="1:31" x14ac:dyDescent="0.3">
      <c r="A6" s="4">
        <v>214</v>
      </c>
      <c r="B6" s="4">
        <v>15412</v>
      </c>
      <c r="C6" s="4">
        <v>51</v>
      </c>
      <c r="D6" s="4">
        <v>15</v>
      </c>
      <c r="E6" s="4">
        <v>124</v>
      </c>
      <c r="G6" s="4">
        <v>6</v>
      </c>
      <c r="H6" s="4">
        <v>34</v>
      </c>
      <c r="I6" s="4">
        <v>2</v>
      </c>
      <c r="J6" s="4">
        <v>34</v>
      </c>
      <c r="K6" s="4">
        <v>41</v>
      </c>
      <c r="N6" s="4">
        <f t="shared" si="3"/>
        <v>220</v>
      </c>
      <c r="O6" s="4">
        <f t="shared" si="4"/>
        <v>15446</v>
      </c>
      <c r="P6" s="4">
        <f t="shared" si="5"/>
        <v>53</v>
      </c>
      <c r="Q6" s="4">
        <f t="shared" si="6"/>
        <v>49</v>
      </c>
      <c r="R6" s="4">
        <f t="shared" si="7"/>
        <v>165</v>
      </c>
      <c r="T6" s="4">
        <f t="shared" si="8"/>
        <v>208</v>
      </c>
      <c r="U6" s="4">
        <f t="shared" si="9"/>
        <v>15378</v>
      </c>
      <c r="V6" s="4">
        <f t="shared" si="10"/>
        <v>49</v>
      </c>
      <c r="W6" s="4">
        <f t="shared" si="11"/>
        <v>-19</v>
      </c>
      <c r="X6" s="4">
        <f t="shared" si="12"/>
        <v>83</v>
      </c>
      <c r="AA6" s="4">
        <f t="shared" si="13"/>
        <v>428</v>
      </c>
      <c r="AB6" s="4">
        <f t="shared" si="2"/>
        <v>30824</v>
      </c>
      <c r="AC6" s="4">
        <f t="shared" si="2"/>
        <v>102</v>
      </c>
      <c r="AD6" s="4">
        <f t="shared" si="2"/>
        <v>30</v>
      </c>
      <c r="AE6" s="4">
        <f t="shared" si="2"/>
        <v>248</v>
      </c>
    </row>
    <row r="7" spans="1:31" x14ac:dyDescent="0.3">
      <c r="A7" s="4">
        <v>15351</v>
      </c>
      <c r="B7" s="4">
        <v>51124</v>
      </c>
      <c r="C7" s="4">
        <v>214</v>
      </c>
      <c r="D7" s="4">
        <v>123</v>
      </c>
      <c r="E7" s="4">
        <v>2143</v>
      </c>
      <c r="G7" s="4">
        <v>62</v>
      </c>
      <c r="H7" s="4">
        <v>3</v>
      </c>
      <c r="I7" s="4">
        <v>2</v>
      </c>
      <c r="J7" s="4">
        <v>6</v>
      </c>
      <c r="K7" s="4">
        <v>551</v>
      </c>
      <c r="N7" s="4">
        <f t="shared" si="3"/>
        <v>15413</v>
      </c>
      <c r="O7" s="4">
        <f t="shared" si="4"/>
        <v>51127</v>
      </c>
      <c r="P7" s="4">
        <f t="shared" si="5"/>
        <v>216</v>
      </c>
      <c r="Q7" s="4">
        <f t="shared" si="6"/>
        <v>129</v>
      </c>
      <c r="R7" s="4">
        <f t="shared" si="7"/>
        <v>2694</v>
      </c>
      <c r="T7" s="4">
        <f t="shared" si="8"/>
        <v>15289</v>
      </c>
      <c r="U7" s="4">
        <f t="shared" si="9"/>
        <v>51121</v>
      </c>
      <c r="V7" s="4">
        <f t="shared" si="10"/>
        <v>212</v>
      </c>
      <c r="W7" s="4">
        <f t="shared" si="11"/>
        <v>117</v>
      </c>
      <c r="X7" s="4">
        <f t="shared" si="12"/>
        <v>1592</v>
      </c>
      <c r="AA7" s="4">
        <f t="shared" si="13"/>
        <v>30702</v>
      </c>
      <c r="AB7" s="4">
        <f t="shared" si="2"/>
        <v>102248</v>
      </c>
      <c r="AC7" s="4">
        <f t="shared" si="2"/>
        <v>428</v>
      </c>
      <c r="AD7" s="4">
        <f t="shared" si="2"/>
        <v>246</v>
      </c>
      <c r="AE7" s="4">
        <f t="shared" si="2"/>
        <v>4286</v>
      </c>
    </row>
    <row r="11" spans="1:31" x14ac:dyDescent="0.3">
      <c r="A11" s="3" t="s">
        <v>0</v>
      </c>
      <c r="E11" s="3" t="s">
        <v>1</v>
      </c>
      <c r="J11" s="3" t="s">
        <v>2</v>
      </c>
      <c r="N11" s="3" t="s">
        <v>3</v>
      </c>
      <c r="R11" s="3" t="s">
        <v>5</v>
      </c>
      <c r="U11" s="4" t="s">
        <v>4</v>
      </c>
      <c r="V11" s="4">
        <v>4</v>
      </c>
    </row>
    <row r="13" spans="1:31" x14ac:dyDescent="0.3">
      <c r="A13" s="4">
        <v>3</v>
      </c>
      <c r="B13" s="4">
        <v>3</v>
      </c>
      <c r="C13" s="4">
        <v>3</v>
      </c>
      <c r="E13" s="4">
        <v>3</v>
      </c>
      <c r="F13" s="4">
        <v>3</v>
      </c>
      <c r="G13" s="4">
        <v>4</v>
      </c>
      <c r="J13" s="4">
        <f>A13+E13</f>
        <v>6</v>
      </c>
      <c r="K13" s="4">
        <f t="shared" ref="K13:L13" si="14">B13+F13</f>
        <v>6</v>
      </c>
      <c r="L13" s="4">
        <f t="shared" si="14"/>
        <v>7</v>
      </c>
      <c r="N13" s="4">
        <f>A13-E13</f>
        <v>0</v>
      </c>
      <c r="O13" s="4">
        <f t="shared" ref="O13:P13" si="15">B13-F13</f>
        <v>0</v>
      </c>
      <c r="P13" s="4">
        <f t="shared" si="15"/>
        <v>-1</v>
      </c>
      <c r="R13" s="4">
        <f>A13*$V$11</f>
        <v>12</v>
      </c>
      <c r="S13" s="4">
        <f t="shared" ref="S13:T16" si="16">B13*$V$11</f>
        <v>12</v>
      </c>
      <c r="T13" s="4">
        <f t="shared" si="16"/>
        <v>12</v>
      </c>
    </row>
    <row r="14" spans="1:31" x14ac:dyDescent="0.3">
      <c r="A14" s="4">
        <v>3</v>
      </c>
      <c r="B14" s="4">
        <v>3</v>
      </c>
      <c r="C14" s="4">
        <v>3</v>
      </c>
      <c r="E14" s="4">
        <v>3</v>
      </c>
      <c r="F14" s="4">
        <v>3</v>
      </c>
      <c r="G14" s="4">
        <v>3</v>
      </c>
      <c r="J14" s="4">
        <f t="shared" ref="J14:J16" si="17">A14+E14</f>
        <v>6</v>
      </c>
      <c r="K14" s="4">
        <f t="shared" ref="K14:K16" si="18">B14+F14</f>
        <v>6</v>
      </c>
      <c r="L14" s="4">
        <f t="shared" ref="L14:L16" si="19">C14+G14</f>
        <v>6</v>
      </c>
      <c r="N14" s="4">
        <f t="shared" ref="N14:N16" si="20">A14-E14</f>
        <v>0</v>
      </c>
      <c r="O14" s="4">
        <f t="shared" ref="O14:O16" si="21">B14-F14</f>
        <v>0</v>
      </c>
      <c r="P14" s="4">
        <f t="shared" ref="P14:P16" si="22">C14-G14</f>
        <v>0</v>
      </c>
      <c r="R14" s="4">
        <f t="shared" ref="R14:R16" si="23">A14*$V$11</f>
        <v>12</v>
      </c>
      <c r="S14" s="4">
        <f t="shared" si="16"/>
        <v>12</v>
      </c>
      <c r="T14" s="4">
        <f t="shared" si="16"/>
        <v>12</v>
      </c>
    </row>
    <row r="15" spans="1:31" x14ac:dyDescent="0.3">
      <c r="A15" s="4">
        <v>4</v>
      </c>
      <c r="B15" s="4">
        <v>1</v>
      </c>
      <c r="C15" s="4">
        <v>4</v>
      </c>
      <c r="E15" s="4">
        <v>3</v>
      </c>
      <c r="F15" s="4">
        <v>3</v>
      </c>
      <c r="G15" s="4">
        <v>2</v>
      </c>
      <c r="J15" s="4">
        <f t="shared" si="17"/>
        <v>7</v>
      </c>
      <c r="K15" s="4">
        <f t="shared" si="18"/>
        <v>4</v>
      </c>
      <c r="L15" s="4">
        <f t="shared" si="19"/>
        <v>6</v>
      </c>
      <c r="N15" s="4">
        <f t="shared" si="20"/>
        <v>1</v>
      </c>
      <c r="O15" s="4">
        <f t="shared" si="21"/>
        <v>-2</v>
      </c>
      <c r="P15" s="4">
        <f t="shared" si="22"/>
        <v>2</v>
      </c>
      <c r="R15" s="4">
        <f t="shared" si="23"/>
        <v>16</v>
      </c>
      <c r="S15" s="4">
        <f t="shared" si="16"/>
        <v>4</v>
      </c>
      <c r="T15" s="4">
        <f t="shared" si="16"/>
        <v>16</v>
      </c>
    </row>
    <row r="16" spans="1:31" x14ac:dyDescent="0.3">
      <c r="A16" s="4">
        <v>6</v>
      </c>
      <c r="B16" s="4">
        <v>7</v>
      </c>
      <c r="C16" s="4">
        <v>8</v>
      </c>
      <c r="E16" s="4">
        <v>12</v>
      </c>
      <c r="F16" s="4">
        <v>214</v>
      </c>
      <c r="G16" s="4">
        <v>65</v>
      </c>
      <c r="J16" s="4">
        <f t="shared" si="17"/>
        <v>18</v>
      </c>
      <c r="K16" s="4">
        <f t="shared" si="18"/>
        <v>221</v>
      </c>
      <c r="L16" s="4">
        <f t="shared" si="19"/>
        <v>73</v>
      </c>
      <c r="N16" s="4">
        <f t="shared" si="20"/>
        <v>-6</v>
      </c>
      <c r="O16" s="4">
        <f t="shared" si="21"/>
        <v>-207</v>
      </c>
      <c r="P16" s="4">
        <f t="shared" si="22"/>
        <v>-57</v>
      </c>
      <c r="R16" s="4">
        <f t="shared" si="23"/>
        <v>24</v>
      </c>
      <c r="S16" s="4">
        <f t="shared" si="16"/>
        <v>28</v>
      </c>
      <c r="T16" s="4">
        <f t="shared" si="16"/>
        <v>32</v>
      </c>
    </row>
    <row r="19" spans="1:26" x14ac:dyDescent="0.3">
      <c r="A19" s="3" t="s">
        <v>0</v>
      </c>
      <c r="G19" s="3" t="s">
        <v>1</v>
      </c>
      <c r="L19" s="3" t="s">
        <v>2</v>
      </c>
      <c r="Q19" s="3" t="s">
        <v>3</v>
      </c>
      <c r="V19" s="3" t="s">
        <v>5</v>
      </c>
      <c r="Y19" s="6" t="s">
        <v>4</v>
      </c>
      <c r="Z19" s="6">
        <v>2</v>
      </c>
    </row>
    <row r="20" spans="1:26" x14ac:dyDescent="0.3">
      <c r="A20" s="4">
        <v>12</v>
      </c>
      <c r="B20" s="4">
        <v>-12</v>
      </c>
      <c r="C20" s="4">
        <v>2</v>
      </c>
      <c r="D20" s="4">
        <v>4</v>
      </c>
      <c r="G20" s="4">
        <v>21</v>
      </c>
      <c r="H20" s="4">
        <v>23</v>
      </c>
      <c r="I20" s="4">
        <v>6</v>
      </c>
      <c r="J20" s="4">
        <v>2321</v>
      </c>
      <c r="L20" s="4">
        <f>A20+G20</f>
        <v>33</v>
      </c>
      <c r="M20" s="4">
        <f t="shared" ref="M20:O22" si="24">B20+H20</f>
        <v>11</v>
      </c>
      <c r="N20" s="4">
        <f t="shared" si="24"/>
        <v>8</v>
      </c>
      <c r="O20" s="4">
        <f t="shared" si="24"/>
        <v>2325</v>
      </c>
      <c r="Q20" s="4">
        <f>A20-G20</f>
        <v>-9</v>
      </c>
      <c r="R20" s="4">
        <f t="shared" ref="R20:T20" si="25">B20-H20</f>
        <v>-35</v>
      </c>
      <c r="S20" s="4">
        <f t="shared" si="25"/>
        <v>-4</v>
      </c>
      <c r="T20" s="4">
        <f t="shared" si="25"/>
        <v>-2317</v>
      </c>
      <c r="V20" s="4">
        <f>A20*$Z$19</f>
        <v>24</v>
      </c>
      <c r="W20" s="4">
        <f t="shared" ref="W20:Y22" si="26">B20*$Z$19</f>
        <v>-24</v>
      </c>
      <c r="X20" s="4">
        <f t="shared" si="26"/>
        <v>4</v>
      </c>
      <c r="Y20" s="5">
        <f t="shared" si="26"/>
        <v>8</v>
      </c>
    </row>
    <row r="21" spans="1:26" x14ac:dyDescent="0.3">
      <c r="A21" s="4">
        <v>21</v>
      </c>
      <c r="B21" s="4">
        <v>214</v>
      </c>
      <c r="C21" s="4">
        <v>2</v>
      </c>
      <c r="D21" s="4">
        <v>125</v>
      </c>
      <c r="G21" s="4">
        <v>44</v>
      </c>
      <c r="H21" s="4">
        <v>653</v>
      </c>
      <c r="I21" s="4">
        <v>6</v>
      </c>
      <c r="J21" s="4">
        <v>-124</v>
      </c>
      <c r="L21" s="4">
        <f t="shared" ref="L21:L22" si="27">A21+G21</f>
        <v>65</v>
      </c>
      <c r="M21" s="4">
        <f t="shared" si="24"/>
        <v>867</v>
      </c>
      <c r="N21" s="4">
        <f t="shared" si="24"/>
        <v>8</v>
      </c>
      <c r="O21" s="4">
        <f t="shared" si="24"/>
        <v>1</v>
      </c>
      <c r="Q21" s="4">
        <f t="shared" ref="Q21:Q22" si="28">A21-G21</f>
        <v>-23</v>
      </c>
      <c r="R21" s="4">
        <f t="shared" ref="R21:R22" si="29">B21-H21</f>
        <v>-439</v>
      </c>
      <c r="S21" s="4">
        <f t="shared" ref="S21:S22" si="30">C21-I21</f>
        <v>-4</v>
      </c>
      <c r="T21" s="4">
        <f t="shared" ref="T21:T22" si="31">D21-J21</f>
        <v>249</v>
      </c>
      <c r="V21" s="4">
        <f t="shared" ref="V21:V22" si="32">A21*$Z$19</f>
        <v>42</v>
      </c>
      <c r="W21" s="4">
        <f t="shared" si="26"/>
        <v>428</v>
      </c>
      <c r="X21" s="4">
        <f t="shared" si="26"/>
        <v>4</v>
      </c>
      <c r="Y21" s="4">
        <f t="shared" si="26"/>
        <v>250</v>
      </c>
    </row>
    <row r="22" spans="1:26" x14ac:dyDescent="0.3">
      <c r="A22" s="4">
        <v>12.12</v>
      </c>
      <c r="B22" s="4">
        <v>2</v>
      </c>
      <c r="C22" s="4">
        <v>1</v>
      </c>
      <c r="D22" s="4">
        <v>5</v>
      </c>
      <c r="G22" s="4">
        <v>57</v>
      </c>
      <c r="H22" s="4">
        <v>4</v>
      </c>
      <c r="I22" s="4">
        <v>89</v>
      </c>
      <c r="J22" s="4">
        <v>2</v>
      </c>
      <c r="L22" s="4">
        <f t="shared" si="27"/>
        <v>69.12</v>
      </c>
      <c r="M22" s="4">
        <f t="shared" si="24"/>
        <v>6</v>
      </c>
      <c r="N22" s="4">
        <f t="shared" si="24"/>
        <v>90</v>
      </c>
      <c r="O22" s="4">
        <f t="shared" si="24"/>
        <v>7</v>
      </c>
      <c r="Q22" s="4">
        <f t="shared" si="28"/>
        <v>-44.88</v>
      </c>
      <c r="R22" s="4">
        <f t="shared" si="29"/>
        <v>-2</v>
      </c>
      <c r="S22" s="4">
        <f t="shared" si="30"/>
        <v>-88</v>
      </c>
      <c r="T22" s="4">
        <f t="shared" si="31"/>
        <v>3</v>
      </c>
      <c r="V22" s="4">
        <f t="shared" si="32"/>
        <v>24.24</v>
      </c>
      <c r="W22" s="4">
        <f t="shared" si="26"/>
        <v>4</v>
      </c>
      <c r="X22" s="4">
        <f t="shared" si="26"/>
        <v>2</v>
      </c>
      <c r="Y22" s="4">
        <f t="shared" si="26"/>
        <v>10</v>
      </c>
    </row>
    <row r="25" spans="1:26" x14ac:dyDescent="0.3">
      <c r="A25" s="3" t="s">
        <v>0</v>
      </c>
      <c r="E25" s="3" t="s">
        <v>1</v>
      </c>
      <c r="H25" s="3" t="s">
        <v>2</v>
      </c>
      <c r="K25" s="3" t="s">
        <v>3</v>
      </c>
      <c r="O25" s="3" t="s">
        <v>5</v>
      </c>
      <c r="R25" s="4" t="s">
        <v>4</v>
      </c>
      <c r="S25" s="4">
        <v>5</v>
      </c>
    </row>
    <row r="27" spans="1:26" x14ac:dyDescent="0.3">
      <c r="A27" s="4">
        <v>9</v>
      </c>
      <c r="B27" s="4">
        <v>423</v>
      </c>
      <c r="E27" s="4">
        <v>12</v>
      </c>
      <c r="F27" s="4">
        <v>25</v>
      </c>
      <c r="H27" s="4">
        <f>A27+E27</f>
        <v>21</v>
      </c>
      <c r="I27" s="4">
        <f>B27+F27</f>
        <v>448</v>
      </c>
      <c r="K27" s="4">
        <f>A27-E27</f>
        <v>-3</v>
      </c>
      <c r="L27" s="4">
        <f>B27-F27</f>
        <v>398</v>
      </c>
      <c r="O27" s="4">
        <f>A27*$S$25</f>
        <v>45</v>
      </c>
      <c r="P27" s="4">
        <f>B27*$S$25</f>
        <v>2115</v>
      </c>
    </row>
    <row r="28" spans="1:26" x14ac:dyDescent="0.3">
      <c r="A28" s="4">
        <v>32</v>
      </c>
      <c r="B28" s="4">
        <v>3</v>
      </c>
      <c r="E28" s="4">
        <v>23</v>
      </c>
      <c r="F28" s="4">
        <v>1</v>
      </c>
      <c r="H28" s="4">
        <f t="shared" ref="H28:H32" si="33">A28+E28</f>
        <v>55</v>
      </c>
      <c r="I28" s="4">
        <f t="shared" ref="I28:I32" si="34">B28+F28</f>
        <v>4</v>
      </c>
      <c r="K28" s="4">
        <f t="shared" ref="K28:K32" si="35">A28-E28</f>
        <v>9</v>
      </c>
      <c r="L28" s="4">
        <f t="shared" ref="L28:L32" si="36">B28-F28</f>
        <v>2</v>
      </c>
      <c r="O28" s="4">
        <f t="shared" ref="O28:P32" si="37">A28*$S$25</f>
        <v>160</v>
      </c>
      <c r="P28" s="4">
        <f t="shared" si="37"/>
        <v>15</v>
      </c>
    </row>
    <row r="29" spans="1:26" x14ac:dyDescent="0.3">
      <c r="A29" s="4">
        <v>32</v>
      </c>
      <c r="B29" s="4">
        <v>5</v>
      </c>
      <c r="E29" s="4">
        <v>2</v>
      </c>
      <c r="F29" s="4">
        <v>21</v>
      </c>
      <c r="H29" s="4">
        <f t="shared" si="33"/>
        <v>34</v>
      </c>
      <c r="I29" s="4">
        <f t="shared" si="34"/>
        <v>26</v>
      </c>
      <c r="K29" s="4">
        <f t="shared" si="35"/>
        <v>30</v>
      </c>
      <c r="L29" s="4">
        <f t="shared" si="36"/>
        <v>-16</v>
      </c>
      <c r="O29" s="4">
        <f t="shared" si="37"/>
        <v>160</v>
      </c>
      <c r="P29" s="4">
        <f t="shared" si="37"/>
        <v>25</v>
      </c>
    </row>
    <row r="30" spans="1:26" x14ac:dyDescent="0.3">
      <c r="A30" s="4">
        <v>23</v>
      </c>
      <c r="B30" s="4">
        <v>3</v>
      </c>
      <c r="E30" s="4">
        <v>1</v>
      </c>
      <c r="F30" s="4">
        <v>25</v>
      </c>
      <c r="H30" s="4">
        <f t="shared" si="33"/>
        <v>24</v>
      </c>
      <c r="I30" s="4">
        <f t="shared" si="34"/>
        <v>28</v>
      </c>
      <c r="K30" s="4">
        <f t="shared" si="35"/>
        <v>22</v>
      </c>
      <c r="L30" s="4">
        <f t="shared" si="36"/>
        <v>-22</v>
      </c>
      <c r="O30" s="4">
        <f t="shared" si="37"/>
        <v>115</v>
      </c>
      <c r="P30" s="4">
        <f t="shared" si="37"/>
        <v>15</v>
      </c>
    </row>
    <row r="31" spans="1:26" x14ac:dyDescent="0.3">
      <c r="A31" s="4">
        <v>6</v>
      </c>
      <c r="B31" s="4">
        <v>8</v>
      </c>
      <c r="E31" s="4">
        <v>7</v>
      </c>
      <c r="F31" s="4">
        <v>9</v>
      </c>
      <c r="H31" s="4">
        <f t="shared" si="33"/>
        <v>13</v>
      </c>
      <c r="I31" s="4">
        <f t="shared" si="34"/>
        <v>17</v>
      </c>
      <c r="K31" s="4">
        <f t="shared" si="35"/>
        <v>-1</v>
      </c>
      <c r="L31" s="4">
        <f t="shared" si="36"/>
        <v>-1</v>
      </c>
      <c r="O31" s="4">
        <f t="shared" si="37"/>
        <v>30</v>
      </c>
      <c r="P31" s="4">
        <f t="shared" si="37"/>
        <v>40</v>
      </c>
    </row>
    <row r="32" spans="1:26" x14ac:dyDescent="0.3">
      <c r="A32" s="4">
        <v>2</v>
      </c>
      <c r="B32" s="4">
        <v>6</v>
      </c>
      <c r="E32" s="4">
        <v>574</v>
      </c>
      <c r="F32" s="4">
        <v>857</v>
      </c>
      <c r="H32" s="4">
        <f t="shared" si="33"/>
        <v>576</v>
      </c>
      <c r="I32" s="4">
        <f t="shared" si="34"/>
        <v>863</v>
      </c>
      <c r="K32" s="4">
        <f t="shared" si="35"/>
        <v>-572</v>
      </c>
      <c r="L32" s="4">
        <f t="shared" si="36"/>
        <v>-851</v>
      </c>
      <c r="O32" s="4">
        <f t="shared" si="37"/>
        <v>10</v>
      </c>
      <c r="P32" s="4">
        <f t="shared" si="37"/>
        <v>30</v>
      </c>
    </row>
    <row r="36" spans="1:22" x14ac:dyDescent="0.3">
      <c r="A36" s="3" t="s">
        <v>0</v>
      </c>
      <c r="F36" s="3" t="s">
        <v>1</v>
      </c>
      <c r="J36" s="3" t="s">
        <v>2</v>
      </c>
      <c r="N36" s="3" t="s">
        <v>3</v>
      </c>
      <c r="R36" s="3" t="s">
        <v>5</v>
      </c>
      <c r="U36" s="4" t="s">
        <v>4</v>
      </c>
      <c r="V36" s="4">
        <v>10</v>
      </c>
    </row>
    <row r="37" spans="1:22" x14ac:dyDescent="0.3">
      <c r="A37" s="4">
        <v>1.1299999999999999</v>
      </c>
      <c r="B37" s="4">
        <v>2141.1241</v>
      </c>
      <c r="C37" s="4">
        <v>214.24100000000001</v>
      </c>
      <c r="F37" s="4">
        <v>-241</v>
      </c>
      <c r="G37" s="4">
        <v>-214</v>
      </c>
      <c r="H37" s="4">
        <v>214</v>
      </c>
      <c r="J37" s="4">
        <f>A37+F37</f>
        <v>-239.87</v>
      </c>
      <c r="K37" s="4">
        <f t="shared" ref="K37:L37" si="38">B37+G37</f>
        <v>1927.1241</v>
      </c>
      <c r="L37" s="4">
        <f t="shared" si="38"/>
        <v>428.24099999999999</v>
      </c>
      <c r="N37" s="4">
        <f>A37-F37</f>
        <v>242.13</v>
      </c>
      <c r="O37" s="4">
        <f t="shared" ref="O37:P37" si="39">B37-G37</f>
        <v>2355.1241</v>
      </c>
      <c r="P37" s="4">
        <f t="shared" si="39"/>
        <v>0.24100000000001387</v>
      </c>
      <c r="R37" s="4">
        <f>A37*$V$36</f>
        <v>11.299999999999999</v>
      </c>
      <c r="S37" s="4">
        <f t="shared" ref="S37:T37" si="40">B37*$V$36</f>
        <v>21411.241000000002</v>
      </c>
      <c r="T37" s="4">
        <f t="shared" si="40"/>
        <v>2142.4100000000003</v>
      </c>
    </row>
    <row r="38" spans="1:22" x14ac:dyDescent="0.3">
      <c r="A38" s="4">
        <v>124</v>
      </c>
      <c r="B38" s="4">
        <v>12141.124</v>
      </c>
      <c r="C38" s="4">
        <v>12.124000000000001</v>
      </c>
      <c r="F38" s="4">
        <v>12412</v>
      </c>
      <c r="G38" s="4">
        <v>-4211</v>
      </c>
      <c r="H38" s="4">
        <v>11</v>
      </c>
      <c r="J38" s="4">
        <f t="shared" ref="J38:J40" si="41">A38+F38</f>
        <v>12536</v>
      </c>
      <c r="K38" s="4">
        <f t="shared" ref="K38:K40" si="42">B38+G38</f>
        <v>7930.1239999999998</v>
      </c>
      <c r="L38" s="4">
        <f t="shared" ref="L38:L40" si="43">C38+H38</f>
        <v>23.124000000000002</v>
      </c>
      <c r="N38" s="4">
        <f t="shared" ref="N38:N40" si="44">A38-F38</f>
        <v>-12288</v>
      </c>
      <c r="O38" s="4">
        <f t="shared" ref="O38:O40" si="45">B38-G38</f>
        <v>16352.124</v>
      </c>
      <c r="P38" s="4">
        <f t="shared" ref="P38:P40" si="46">C38-H38</f>
        <v>1.1240000000000006</v>
      </c>
      <c r="R38" s="4">
        <f t="shared" ref="R38:R40" si="47">A38*$V$36</f>
        <v>1240</v>
      </c>
      <c r="S38" s="4">
        <f t="shared" ref="S38:S40" si="48">B38*$V$36</f>
        <v>121411.23999999999</v>
      </c>
      <c r="T38" s="4">
        <f t="shared" ref="T38:T40" si="49">C38*$V$36</f>
        <v>121.24000000000001</v>
      </c>
    </row>
    <row r="39" spans="1:22" x14ac:dyDescent="0.3">
      <c r="A39" s="4">
        <v>124.2414</v>
      </c>
      <c r="B39" s="4">
        <v>21551</v>
      </c>
      <c r="C39" s="4">
        <v>125215.51251</v>
      </c>
      <c r="F39" s="4">
        <v>-214</v>
      </c>
      <c r="G39" s="4">
        <v>21</v>
      </c>
      <c r="H39" s="4">
        <v>-124</v>
      </c>
      <c r="J39" s="4">
        <f t="shared" si="41"/>
        <v>-89.758600000000001</v>
      </c>
      <c r="K39" s="4">
        <f t="shared" si="42"/>
        <v>21572</v>
      </c>
      <c r="L39" s="4">
        <f t="shared" si="43"/>
        <v>125091.51251</v>
      </c>
      <c r="N39" s="4">
        <f t="shared" si="44"/>
        <v>338.2414</v>
      </c>
      <c r="O39" s="4">
        <f t="shared" si="45"/>
        <v>21530</v>
      </c>
      <c r="P39" s="4">
        <f t="shared" si="46"/>
        <v>125339.51251</v>
      </c>
      <c r="R39" s="4">
        <f t="shared" si="47"/>
        <v>1242.414</v>
      </c>
      <c r="S39" s="4">
        <f t="shared" si="48"/>
        <v>215510</v>
      </c>
      <c r="T39" s="4">
        <f t="shared" si="49"/>
        <v>1252155.1251000001</v>
      </c>
    </row>
    <row r="40" spans="1:22" x14ac:dyDescent="0.3">
      <c r="A40" s="4">
        <v>11</v>
      </c>
      <c r="B40" s="4">
        <v>22</v>
      </c>
      <c r="C40" s="4">
        <v>11</v>
      </c>
      <c r="F40" s="4">
        <v>124555.12300000001</v>
      </c>
      <c r="G40" s="4">
        <v>214.12</v>
      </c>
      <c r="H40" s="4">
        <v>124.123</v>
      </c>
      <c r="J40" s="4">
        <f t="shared" si="41"/>
        <v>124566.12300000001</v>
      </c>
      <c r="K40" s="4">
        <f t="shared" si="42"/>
        <v>236.12</v>
      </c>
      <c r="L40" s="4">
        <f t="shared" si="43"/>
        <v>135.12299999999999</v>
      </c>
      <c r="N40" s="4">
        <f t="shared" si="44"/>
        <v>-124544.12300000001</v>
      </c>
      <c r="O40" s="4">
        <f t="shared" si="45"/>
        <v>-192.12</v>
      </c>
      <c r="P40" s="4">
        <f t="shared" si="46"/>
        <v>-113.123</v>
      </c>
      <c r="R40" s="4">
        <f t="shared" si="47"/>
        <v>110</v>
      </c>
      <c r="S40" s="4">
        <f t="shared" si="48"/>
        <v>220</v>
      </c>
      <c r="T40" s="4">
        <f t="shared" si="49"/>
        <v>110</v>
      </c>
    </row>
  </sheetData>
  <pageMargins left="0.7" right="0.7" top="0.75" bottom="0.75" header="0.3" footer="0.3"/>
  <pageSetup paperSize="9" orientation="portrait" r:id="rId1"/>
  <headerFooter>
    <oddHeader xml:space="preserve">&amp;LАннануров Даниил Петрович ИВТ 1.2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zoomScaleNormal="100" workbookViewId="0">
      <selection activeCell="E6" sqref="E6"/>
    </sheetView>
  </sheetViews>
  <sheetFormatPr defaultRowHeight="15.6" x14ac:dyDescent="0.3"/>
  <cols>
    <col min="1" max="16384" width="8.88671875" style="3"/>
  </cols>
  <sheetData>
    <row r="1" spans="1:18" s="3" customFormat="1" x14ac:dyDescent="0.3">
      <c r="A1" s="3" t="s">
        <v>6</v>
      </c>
      <c r="G1" s="3" t="s">
        <v>6</v>
      </c>
    </row>
    <row r="2" spans="1:18" s="3" customFormat="1" x14ac:dyDescent="0.3"/>
    <row r="3" spans="1:18" s="3" customFormat="1" x14ac:dyDescent="0.3">
      <c r="A3" s="4">
        <f t="array" ref="A3:C5">_xlfn.MUNIT(3)</f>
        <v>1</v>
      </c>
      <c r="B3" s="4">
        <v>0</v>
      </c>
      <c r="C3" s="4">
        <v>0</v>
      </c>
      <c r="G3" s="4">
        <f t="array" ref="G3:K7">_xlfn.MUNIT(5)</f>
        <v>1</v>
      </c>
      <c r="H3" s="4">
        <v>0</v>
      </c>
      <c r="I3" s="4">
        <v>0</v>
      </c>
      <c r="J3" s="4">
        <v>0</v>
      </c>
      <c r="K3" s="4">
        <v>0</v>
      </c>
    </row>
    <row r="4" spans="1:18" s="3" customFormat="1" x14ac:dyDescent="0.3">
      <c r="A4" s="4">
        <v>0</v>
      </c>
      <c r="B4" s="4">
        <v>1</v>
      </c>
      <c r="C4" s="4">
        <v>0</v>
      </c>
      <c r="G4" s="4">
        <v>0</v>
      </c>
      <c r="H4" s="4">
        <v>1</v>
      </c>
      <c r="I4" s="4">
        <v>0</v>
      </c>
      <c r="J4" s="4">
        <v>0</v>
      </c>
      <c r="K4" s="4">
        <v>0</v>
      </c>
    </row>
    <row r="5" spans="1:18" s="3" customFormat="1" x14ac:dyDescent="0.3">
      <c r="A5" s="4">
        <v>0</v>
      </c>
      <c r="B5" s="4">
        <v>0</v>
      </c>
      <c r="C5" s="4">
        <v>1</v>
      </c>
      <c r="G5" s="4">
        <v>0</v>
      </c>
      <c r="H5" s="4">
        <v>0</v>
      </c>
      <c r="I5" s="4">
        <v>1</v>
      </c>
      <c r="J5" s="4">
        <v>0</v>
      </c>
      <c r="K5" s="4">
        <v>0</v>
      </c>
    </row>
    <row r="6" spans="1:18" s="3" customFormat="1" x14ac:dyDescent="0.3">
      <c r="G6" s="4">
        <v>0</v>
      </c>
      <c r="H6" s="4">
        <v>0</v>
      </c>
      <c r="I6" s="4">
        <v>0</v>
      </c>
      <c r="J6" s="4">
        <v>1</v>
      </c>
      <c r="K6" s="4">
        <v>0</v>
      </c>
    </row>
    <row r="7" spans="1:18" s="3" customFormat="1" x14ac:dyDescent="0.3">
      <c r="G7" s="4">
        <v>0</v>
      </c>
      <c r="H7" s="4">
        <v>0</v>
      </c>
      <c r="I7" s="4">
        <v>0</v>
      </c>
      <c r="J7" s="4">
        <v>0</v>
      </c>
      <c r="K7" s="4">
        <v>1</v>
      </c>
    </row>
    <row r="9" spans="1:18" s="3" customFormat="1" x14ac:dyDescent="0.3">
      <c r="A9" s="3" t="s">
        <v>6</v>
      </c>
      <c r="H9" s="3" t="s">
        <v>6</v>
      </c>
      <c r="L9" s="3" t="s">
        <v>6</v>
      </c>
    </row>
    <row r="11" spans="1:18" s="3" customFormat="1" x14ac:dyDescent="0.3">
      <c r="A11" s="4">
        <f t="array" ref="A11:F16">_xlfn.MUNIT(6)</f>
        <v>1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H11" s="4">
        <f t="array" ref="H11:I12">_xlfn.MUNIT(2)</f>
        <v>1</v>
      </c>
      <c r="I11" s="4">
        <v>0</v>
      </c>
      <c r="L11" s="4">
        <f t="array" ref="L11:R17">_xlfn.MUNIT(7)</f>
        <v>1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</row>
    <row r="12" spans="1:18" s="3" customFormat="1" x14ac:dyDescent="0.3">
      <c r="A12" s="4">
        <v>0</v>
      </c>
      <c r="B12" s="4">
        <v>1</v>
      </c>
      <c r="C12" s="4">
        <v>0</v>
      </c>
      <c r="D12" s="4">
        <v>0</v>
      </c>
      <c r="E12" s="4">
        <v>0</v>
      </c>
      <c r="F12" s="4">
        <v>0</v>
      </c>
      <c r="H12" s="4">
        <v>0</v>
      </c>
      <c r="I12" s="4">
        <v>1</v>
      </c>
      <c r="L12" s="4">
        <v>0</v>
      </c>
      <c r="M12" s="4">
        <v>1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</row>
    <row r="13" spans="1:18" s="3" customFormat="1" x14ac:dyDescent="0.3">
      <c r="A13" s="4">
        <v>0</v>
      </c>
      <c r="B13" s="4">
        <v>0</v>
      </c>
      <c r="C13" s="4">
        <v>1</v>
      </c>
      <c r="D13" s="4">
        <v>0</v>
      </c>
      <c r="E13" s="4">
        <v>0</v>
      </c>
      <c r="F13" s="4">
        <v>0</v>
      </c>
      <c r="L13" s="4">
        <v>0</v>
      </c>
      <c r="M13" s="4">
        <v>0</v>
      </c>
      <c r="N13" s="4">
        <v>1</v>
      </c>
      <c r="O13" s="4">
        <v>0</v>
      </c>
      <c r="P13" s="4">
        <v>0</v>
      </c>
      <c r="Q13" s="4">
        <v>0</v>
      </c>
      <c r="R13" s="4">
        <v>0</v>
      </c>
    </row>
    <row r="14" spans="1:18" s="3" customFormat="1" x14ac:dyDescent="0.3">
      <c r="A14" s="4">
        <v>0</v>
      </c>
      <c r="B14" s="4">
        <v>0</v>
      </c>
      <c r="C14" s="4">
        <v>0</v>
      </c>
      <c r="D14" s="4">
        <v>1</v>
      </c>
      <c r="E14" s="4">
        <v>0</v>
      </c>
      <c r="F14" s="4">
        <v>0</v>
      </c>
      <c r="L14" s="4">
        <v>0</v>
      </c>
      <c r="M14" s="4">
        <v>0</v>
      </c>
      <c r="N14" s="4">
        <v>0</v>
      </c>
      <c r="O14" s="4">
        <v>1</v>
      </c>
      <c r="P14" s="4">
        <v>0</v>
      </c>
      <c r="Q14" s="4">
        <v>0</v>
      </c>
      <c r="R14" s="4">
        <v>0</v>
      </c>
    </row>
    <row r="15" spans="1:18" s="3" customFormat="1" x14ac:dyDescent="0.3">
      <c r="A15" s="4">
        <v>0</v>
      </c>
      <c r="B15" s="4">
        <v>0</v>
      </c>
      <c r="C15" s="4">
        <v>0</v>
      </c>
      <c r="D15" s="4">
        <v>0</v>
      </c>
      <c r="E15" s="4">
        <v>1</v>
      </c>
      <c r="F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1</v>
      </c>
      <c r="Q15" s="4">
        <v>0</v>
      </c>
      <c r="R15" s="4">
        <v>0</v>
      </c>
    </row>
    <row r="16" spans="1:18" s="3" customFormat="1" x14ac:dyDescent="0.3">
      <c r="A16" s="4">
        <v>0</v>
      </c>
      <c r="B16" s="4">
        <v>0</v>
      </c>
      <c r="C16" s="4">
        <v>0</v>
      </c>
      <c r="D16" s="4">
        <v>0</v>
      </c>
      <c r="E16" s="4">
        <v>0</v>
      </c>
      <c r="F16" s="4">
        <v>1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1</v>
      </c>
      <c r="R16" s="4">
        <v>0</v>
      </c>
    </row>
    <row r="17" spans="12:18" s="3" customFormat="1" x14ac:dyDescent="0.3"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</v>
      </c>
    </row>
    <row r="18" spans="12:18" s="3" customFormat="1" x14ac:dyDescent="0.3"/>
    <row r="19" spans="12:18" s="3" customFormat="1" x14ac:dyDescent="0.3"/>
  </sheetData>
  <pageMargins left="0.7" right="0.7" top="0.75" bottom="0.75" header="0.3" footer="0.3"/>
  <pageSetup paperSize="9" orientation="portrait" r:id="rId1"/>
  <headerFooter>
    <oddHeader>&amp;LАннануров Даниил Петрович ИВТ 1.2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zoomScaleNormal="100" workbookViewId="0">
      <selection activeCell="D11" sqref="D11"/>
    </sheetView>
  </sheetViews>
  <sheetFormatPr defaultRowHeight="15.6" x14ac:dyDescent="0.3"/>
  <cols>
    <col min="1" max="1" width="10.88671875" style="3" customWidth="1"/>
    <col min="2" max="12" width="8.88671875" style="3"/>
    <col min="13" max="14" width="12" style="3" bestFit="1" customWidth="1"/>
    <col min="15" max="15" width="9.6640625" style="3" bestFit="1" customWidth="1"/>
    <col min="16" max="16" width="9" style="3" bestFit="1" customWidth="1"/>
    <col min="17" max="18" width="9.6640625" style="3" bestFit="1" customWidth="1"/>
    <col min="19" max="16384" width="8.88671875" style="3"/>
  </cols>
  <sheetData>
    <row r="1" spans="1:18" x14ac:dyDescent="0.3">
      <c r="A1" s="3" t="s">
        <v>0</v>
      </c>
      <c r="G1" s="3" t="s">
        <v>1</v>
      </c>
      <c r="N1" s="3" t="s">
        <v>8</v>
      </c>
    </row>
    <row r="3" spans="1:18" x14ac:dyDescent="0.3">
      <c r="A3" s="4">
        <v>321</v>
      </c>
      <c r="B3" s="4">
        <v>123</v>
      </c>
      <c r="C3" s="4">
        <v>2141</v>
      </c>
      <c r="D3" s="4">
        <v>1242</v>
      </c>
      <c r="E3" s="4">
        <v>214</v>
      </c>
      <c r="G3" s="4">
        <v>421</v>
      </c>
      <c r="H3" s="4">
        <v>412</v>
      </c>
      <c r="I3" s="4">
        <v>12</v>
      </c>
      <c r="J3" s="4">
        <v>2551</v>
      </c>
      <c r="K3" s="4">
        <v>5112</v>
      </c>
      <c r="N3" s="4">
        <f t="array" ref="N3:R7">MMULT(A3:E7,G3:K7)</f>
        <v>877034</v>
      </c>
      <c r="O3" s="4">
        <v>456912</v>
      </c>
      <c r="P3" s="4">
        <v>13679</v>
      </c>
      <c r="Q3" s="4">
        <v>866911</v>
      </c>
      <c r="R3" s="4">
        <v>1855241</v>
      </c>
    </row>
    <row r="4" spans="1:18" x14ac:dyDescent="0.3">
      <c r="A4" s="4">
        <v>12</v>
      </c>
      <c r="B4" s="4">
        <v>12</v>
      </c>
      <c r="C4" s="4">
        <v>21</v>
      </c>
      <c r="D4" s="4">
        <v>532</v>
      </c>
      <c r="E4" s="4">
        <v>535</v>
      </c>
      <c r="G4" s="4">
        <v>214</v>
      </c>
      <c r="H4" s="4">
        <v>124</v>
      </c>
      <c r="I4" s="4">
        <v>4</v>
      </c>
      <c r="J4" s="4">
        <v>2</v>
      </c>
      <c r="K4" s="4">
        <v>4</v>
      </c>
      <c r="N4" s="4">
        <v>192604</v>
      </c>
      <c r="O4" s="4">
        <v>82824</v>
      </c>
      <c r="P4" s="4">
        <v>2389</v>
      </c>
      <c r="Q4" s="4">
        <v>51976</v>
      </c>
      <c r="R4" s="4">
        <v>378430</v>
      </c>
    </row>
    <row r="5" spans="1:18" x14ac:dyDescent="0.3">
      <c r="A5" s="4">
        <v>213</v>
      </c>
      <c r="B5" s="4">
        <v>413</v>
      </c>
      <c r="C5" s="4">
        <v>1124</v>
      </c>
      <c r="D5" s="4">
        <v>1414</v>
      </c>
      <c r="E5" s="4">
        <v>4</v>
      </c>
      <c r="G5" s="4">
        <v>241</v>
      </c>
      <c r="H5" s="4">
        <v>124</v>
      </c>
      <c r="I5" s="4">
        <v>3</v>
      </c>
      <c r="J5" s="4">
        <v>2</v>
      </c>
      <c r="K5" s="4">
        <v>21</v>
      </c>
      <c r="N5" s="4">
        <v>625127</v>
      </c>
      <c r="O5" s="4">
        <v>298636</v>
      </c>
      <c r="P5" s="4">
        <v>10416</v>
      </c>
      <c r="Q5" s="4">
        <v>594537</v>
      </c>
      <c r="R5" s="4">
        <v>1174290</v>
      </c>
    </row>
    <row r="6" spans="1:18" x14ac:dyDescent="0.3">
      <c r="A6" s="4">
        <v>213</v>
      </c>
      <c r="B6" s="4">
        <v>-134</v>
      </c>
      <c r="C6" s="4">
        <v>1</v>
      </c>
      <c r="D6" s="4">
        <v>14</v>
      </c>
      <c r="E6" s="4">
        <v>4314</v>
      </c>
      <c r="G6" s="4">
        <v>124</v>
      </c>
      <c r="H6" s="4">
        <v>14</v>
      </c>
      <c r="I6" s="4">
        <v>2</v>
      </c>
      <c r="J6" s="4">
        <v>34</v>
      </c>
      <c r="K6" s="4">
        <v>41</v>
      </c>
      <c r="N6" s="4">
        <v>981856</v>
      </c>
      <c r="O6" s="4">
        <v>606396</v>
      </c>
      <c r="P6" s="4">
        <v>10679</v>
      </c>
      <c r="Q6" s="4">
        <v>569457</v>
      </c>
      <c r="R6" s="4">
        <v>3465929</v>
      </c>
    </row>
    <row r="7" spans="1:18" x14ac:dyDescent="0.3">
      <c r="A7" s="4">
        <v>213</v>
      </c>
      <c r="B7" s="4">
        <v>-1</v>
      </c>
      <c r="C7" s="4">
        <v>-141</v>
      </c>
      <c r="D7" s="4">
        <v>-321</v>
      </c>
      <c r="E7" s="4">
        <v>314</v>
      </c>
      <c r="G7" s="4">
        <v>213</v>
      </c>
      <c r="H7" s="4">
        <v>124</v>
      </c>
      <c r="I7" s="4">
        <v>2</v>
      </c>
      <c r="J7" s="4">
        <v>6</v>
      </c>
      <c r="K7" s="4">
        <v>551</v>
      </c>
      <c r="N7" s="4">
        <v>82556</v>
      </c>
      <c r="O7" s="4">
        <v>104590</v>
      </c>
      <c r="P7" s="4">
        <v>2115</v>
      </c>
      <c r="Q7" s="4">
        <v>534049</v>
      </c>
      <c r="R7" s="4">
        <v>1245744</v>
      </c>
    </row>
    <row r="10" spans="1:18" x14ac:dyDescent="0.3">
      <c r="A10" s="3" t="s">
        <v>0</v>
      </c>
      <c r="E10" s="3" t="s">
        <v>1</v>
      </c>
      <c r="K10" s="3" t="s">
        <v>8</v>
      </c>
    </row>
    <row r="11" spans="1:18" x14ac:dyDescent="0.3">
      <c r="E11" s="4">
        <v>21</v>
      </c>
      <c r="F11" s="4">
        <v>23</v>
      </c>
      <c r="G11" s="4">
        <v>6</v>
      </c>
      <c r="H11" s="4">
        <v>2321</v>
      </c>
      <c r="L11" s="4">
        <f t="array" ref="L11:O14">MMULT(A12:C15,E11:H13)</f>
        <v>14637</v>
      </c>
      <c r="M11" s="4">
        <v>34431</v>
      </c>
      <c r="N11" s="4">
        <v>19335</v>
      </c>
      <c r="O11" s="4">
        <v>21954</v>
      </c>
    </row>
    <row r="12" spans="1:18" x14ac:dyDescent="0.3">
      <c r="A12" s="4">
        <v>12</v>
      </c>
      <c r="B12" s="4">
        <v>51</v>
      </c>
      <c r="C12" s="4">
        <v>213</v>
      </c>
      <c r="E12" s="4">
        <v>44</v>
      </c>
      <c r="F12" s="4">
        <v>653</v>
      </c>
      <c r="G12" s="4">
        <v>6</v>
      </c>
      <c r="H12" s="4">
        <v>-124</v>
      </c>
      <c r="L12" s="4">
        <v>1981.4940000000001</v>
      </c>
      <c r="M12" s="4">
        <v>8200.9220000000005</v>
      </c>
      <c r="N12" s="4">
        <v>2014.2840000000001</v>
      </c>
      <c r="O12" s="4">
        <v>26902.694</v>
      </c>
    </row>
    <row r="13" spans="1:18" x14ac:dyDescent="0.3">
      <c r="A13" s="4">
        <v>12.214</v>
      </c>
      <c r="B13" s="4">
        <v>12</v>
      </c>
      <c r="C13" s="4">
        <v>21</v>
      </c>
      <c r="E13" s="4">
        <v>57</v>
      </c>
      <c r="F13" s="4">
        <v>4</v>
      </c>
      <c r="G13" s="4">
        <v>89</v>
      </c>
      <c r="H13" s="4">
        <v>2</v>
      </c>
      <c r="L13" s="4">
        <v>25695.1</v>
      </c>
      <c r="M13" s="4">
        <v>360165.3</v>
      </c>
      <c r="N13" s="4">
        <v>5247.6</v>
      </c>
      <c r="O13" s="4">
        <v>-40197.9</v>
      </c>
    </row>
    <row r="14" spans="1:18" x14ac:dyDescent="0.3">
      <c r="A14" s="4">
        <v>12.1</v>
      </c>
      <c r="B14" s="4">
        <v>551</v>
      </c>
      <c r="C14" s="4">
        <v>21</v>
      </c>
      <c r="L14" s="4">
        <v>77462.498200000002</v>
      </c>
      <c r="M14" s="4">
        <v>933584.92660000001</v>
      </c>
      <c r="N14" s="4">
        <v>28335.285199999998</v>
      </c>
      <c r="O14" s="4">
        <v>112153.15820000001</v>
      </c>
    </row>
    <row r="15" spans="1:18" x14ac:dyDescent="0.3">
      <c r="A15" s="4">
        <v>124.21420000000001</v>
      </c>
      <c r="B15" s="4">
        <v>1424</v>
      </c>
      <c r="C15" s="4">
        <v>214</v>
      </c>
    </row>
    <row r="16" spans="1:18" x14ac:dyDescent="0.3">
      <c r="I16" s="3" t="s">
        <v>1</v>
      </c>
    </row>
    <row r="17" spans="1:15" x14ac:dyDescent="0.3">
      <c r="A17" s="3" t="s">
        <v>0</v>
      </c>
      <c r="I17" s="4">
        <v>12</v>
      </c>
      <c r="J17" s="4">
        <v>25</v>
      </c>
      <c r="M17" s="3" t="s">
        <v>8</v>
      </c>
    </row>
    <row r="18" spans="1:15" x14ac:dyDescent="0.3">
      <c r="I18" s="4">
        <v>23</v>
      </c>
      <c r="J18" s="4">
        <v>1</v>
      </c>
    </row>
    <row r="19" spans="1:15" x14ac:dyDescent="0.3">
      <c r="A19" s="4">
        <v>441</v>
      </c>
      <c r="B19" s="4">
        <v>421.42099999999999</v>
      </c>
      <c r="C19" s="4">
        <v>412.12400000000002</v>
      </c>
      <c r="D19" s="4">
        <v>412.14</v>
      </c>
      <c r="E19" s="4">
        <v>14.414099999999999</v>
      </c>
      <c r="F19" s="4">
        <v>14.412000000000001</v>
      </c>
      <c r="I19" s="4">
        <v>2</v>
      </c>
      <c r="J19" s="4">
        <v>21</v>
      </c>
      <c r="M19" s="4">
        <f t="array" ref="M19:N20">MMULT(A19:F20,I17:J22)</f>
        <v>24594.457699999999</v>
      </c>
      <c r="N19" s="4">
        <v>42885.335900000005</v>
      </c>
    </row>
    <row r="20" spans="1:15" x14ac:dyDescent="0.3">
      <c r="A20" s="4">
        <v>41.111109999999996</v>
      </c>
      <c r="B20" s="4">
        <v>144.1</v>
      </c>
      <c r="C20" s="4">
        <v>14</v>
      </c>
      <c r="D20" s="4">
        <v>124</v>
      </c>
      <c r="E20" s="4">
        <v>15325</v>
      </c>
      <c r="F20" s="4">
        <v>315315</v>
      </c>
      <c r="I20" s="4">
        <v>1</v>
      </c>
      <c r="J20" s="4">
        <v>25</v>
      </c>
      <c r="M20" s="4">
        <v>181102044.63332</v>
      </c>
      <c r="N20" s="4">
        <v>270367445.87774998</v>
      </c>
    </row>
    <row r="21" spans="1:15" x14ac:dyDescent="0.3">
      <c r="I21" s="4">
        <v>7</v>
      </c>
      <c r="J21" s="4">
        <v>9</v>
      </c>
    </row>
    <row r="22" spans="1:15" x14ac:dyDescent="0.3">
      <c r="I22" s="4">
        <v>574</v>
      </c>
      <c r="J22" s="4">
        <v>857</v>
      </c>
    </row>
    <row r="23" spans="1:15" x14ac:dyDescent="0.3">
      <c r="A23" s="3" t="s">
        <v>0</v>
      </c>
      <c r="F23" s="3" t="s">
        <v>7</v>
      </c>
      <c r="L23" s="3" t="s">
        <v>8</v>
      </c>
    </row>
    <row r="24" spans="1:15" x14ac:dyDescent="0.3">
      <c r="F24" s="4">
        <v>1.1299999999999999</v>
      </c>
      <c r="G24" s="4">
        <v>2141.1241</v>
      </c>
      <c r="H24" s="4">
        <v>214.24100000000001</v>
      </c>
      <c r="L24" s="4">
        <f t="array" ref="L24:N26">MMULT(A25:D27,F24:H27)</f>
        <v>-1181.9572000000001</v>
      </c>
      <c r="M24" s="4">
        <v>-76809.998800000016</v>
      </c>
      <c r="N24" s="4">
        <v>252900.42902000001</v>
      </c>
    </row>
    <row r="25" spans="1:15" x14ac:dyDescent="0.3">
      <c r="A25" s="4">
        <v>12</v>
      </c>
      <c r="B25" s="4">
        <v>-12</v>
      </c>
      <c r="C25" s="4">
        <v>2</v>
      </c>
      <c r="D25" s="4">
        <v>4</v>
      </c>
      <c r="F25" s="4">
        <v>124</v>
      </c>
      <c r="G25" s="4">
        <v>12141.124</v>
      </c>
      <c r="H25" s="4">
        <v>12.124000000000001</v>
      </c>
      <c r="L25" s="4">
        <v>28183.212800000001</v>
      </c>
      <c r="M25" s="4">
        <v>2689016.1420999998</v>
      </c>
      <c r="N25" s="4">
        <v>258899.62202000001</v>
      </c>
    </row>
    <row r="26" spans="1:15" x14ac:dyDescent="0.3">
      <c r="A26" s="4">
        <v>21</v>
      </c>
      <c r="B26" s="4">
        <v>214</v>
      </c>
      <c r="C26" s="4">
        <v>2</v>
      </c>
      <c r="D26" s="4">
        <v>125</v>
      </c>
      <c r="F26" s="4">
        <v>124.2414</v>
      </c>
      <c r="G26" s="4">
        <v>21551</v>
      </c>
      <c r="H26" s="4">
        <v>125215.51251</v>
      </c>
      <c r="L26" s="4">
        <v>440.93700000000001</v>
      </c>
      <c r="M26" s="4">
        <v>71893.672091999993</v>
      </c>
      <c r="N26" s="4">
        <v>127891.36143</v>
      </c>
    </row>
    <row r="27" spans="1:15" x14ac:dyDescent="0.3">
      <c r="A27" s="4">
        <v>12.12</v>
      </c>
      <c r="B27" s="4">
        <v>2</v>
      </c>
      <c r="C27" s="4">
        <v>1</v>
      </c>
      <c r="D27" s="4">
        <v>5</v>
      </c>
      <c r="F27" s="4">
        <v>11</v>
      </c>
      <c r="G27" s="4">
        <v>22</v>
      </c>
      <c r="H27" s="4">
        <v>11</v>
      </c>
    </row>
    <row r="31" spans="1:15" x14ac:dyDescent="0.3">
      <c r="A31" s="3" t="s">
        <v>0</v>
      </c>
      <c r="F31" s="3" t="s">
        <v>7</v>
      </c>
      <c r="L31" s="3" t="s">
        <v>8</v>
      </c>
    </row>
    <row r="32" spans="1:15" x14ac:dyDescent="0.3">
      <c r="A32" s="4">
        <v>1.1299999999999999</v>
      </c>
      <c r="B32" s="4">
        <v>2141.1241</v>
      </c>
      <c r="C32" s="4">
        <v>214.24100000000001</v>
      </c>
      <c r="F32" s="4">
        <v>12</v>
      </c>
      <c r="G32" s="4">
        <v>-12</v>
      </c>
      <c r="H32" s="4">
        <v>2</v>
      </c>
      <c r="I32" s="4">
        <v>4</v>
      </c>
      <c r="L32" s="4">
        <f t="array" ref="L32:O35">MMULT(A32:C35,F32:I34)</f>
        <v>47573.767019999992</v>
      </c>
      <c r="M32" s="4">
        <v>458615.47940000001</v>
      </c>
      <c r="N32" s="4">
        <v>4498.7492000000002</v>
      </c>
      <c r="O32" s="4">
        <v>268716.23750000005</v>
      </c>
    </row>
    <row r="33" spans="1:15" x14ac:dyDescent="0.3">
      <c r="A33" s="4">
        <v>124</v>
      </c>
      <c r="B33" s="4">
        <v>12141.124</v>
      </c>
      <c r="C33" s="4">
        <v>12.124000000000001</v>
      </c>
      <c r="F33" s="4">
        <v>21</v>
      </c>
      <c r="G33" s="4">
        <v>214</v>
      </c>
      <c r="H33" s="4">
        <v>2</v>
      </c>
      <c r="I33" s="4">
        <v>125</v>
      </c>
      <c r="L33" s="4">
        <v>256598.54687999998</v>
      </c>
      <c r="M33" s="4">
        <v>2596736.784</v>
      </c>
      <c r="N33" s="4">
        <v>24542.371999999999</v>
      </c>
      <c r="O33" s="4">
        <v>1518197.12</v>
      </c>
    </row>
    <row r="34" spans="1:15" x14ac:dyDescent="0.3">
      <c r="A34" s="4">
        <v>124.2414</v>
      </c>
      <c r="B34" s="4">
        <v>21551</v>
      </c>
      <c r="C34" s="4">
        <v>125215.51251</v>
      </c>
      <c r="F34" s="4">
        <v>12.12</v>
      </c>
      <c r="G34" s="4">
        <v>2</v>
      </c>
      <c r="H34" s="4">
        <v>1</v>
      </c>
      <c r="I34" s="4">
        <v>5</v>
      </c>
      <c r="L34" s="4">
        <v>1971673.9084212</v>
      </c>
      <c r="M34" s="4">
        <v>4860854.1282199994</v>
      </c>
      <c r="N34" s="4">
        <v>168565.99531</v>
      </c>
      <c r="O34" s="4">
        <v>3320449.5281500001</v>
      </c>
    </row>
    <row r="35" spans="1:15" x14ac:dyDescent="0.3">
      <c r="A35" s="4">
        <v>11</v>
      </c>
      <c r="B35" s="4">
        <v>22</v>
      </c>
      <c r="C35" s="4">
        <v>11</v>
      </c>
      <c r="L35" s="4">
        <v>727.31999999999994</v>
      </c>
      <c r="M35" s="4">
        <v>4598</v>
      </c>
      <c r="N35" s="4">
        <v>77</v>
      </c>
      <c r="O35" s="4">
        <v>2849</v>
      </c>
    </row>
  </sheetData>
  <pageMargins left="0.7" right="0.7" top="0.75" bottom="0.75" header="0.3" footer="0.3"/>
  <pageSetup paperSize="9" orientation="portrait" r:id="rId1"/>
  <headerFooter>
    <oddHeader>&amp;LАннануров Даниил Петрович ИВТ 1.2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zoomScaleNormal="100" workbookViewId="0">
      <selection activeCell="F12" sqref="F12"/>
    </sheetView>
  </sheetViews>
  <sheetFormatPr defaultRowHeight="15.6" x14ac:dyDescent="0.3"/>
  <cols>
    <col min="1" max="16384" width="8.88671875" style="3"/>
  </cols>
  <sheetData>
    <row r="1" spans="1:12" ht="17.399999999999999" x14ac:dyDescent="0.3">
      <c r="A1" s="3" t="s">
        <v>0</v>
      </c>
      <c r="H1" s="3" t="s">
        <v>9</v>
      </c>
    </row>
    <row r="3" spans="1:12" x14ac:dyDescent="0.3">
      <c r="A3" s="4">
        <v>321</v>
      </c>
      <c r="B3" s="4">
        <v>123</v>
      </c>
      <c r="C3" s="4">
        <v>2141</v>
      </c>
      <c r="D3" s="4">
        <v>1242</v>
      </c>
      <c r="E3" s="4">
        <v>214</v>
      </c>
      <c r="H3" s="4">
        <f t="array" ref="H3:L7">TRANSPOSE(A3:E7)</f>
        <v>321</v>
      </c>
      <c r="I3" s="4">
        <v>12</v>
      </c>
      <c r="J3" s="4">
        <v>213</v>
      </c>
      <c r="K3" s="4">
        <v>213</v>
      </c>
      <c r="L3" s="4">
        <v>213</v>
      </c>
    </row>
    <row r="4" spans="1:12" x14ac:dyDescent="0.3">
      <c r="A4" s="4">
        <v>12</v>
      </c>
      <c r="B4" s="4">
        <v>12</v>
      </c>
      <c r="C4" s="4">
        <v>21</v>
      </c>
      <c r="D4" s="4">
        <v>532</v>
      </c>
      <c r="E4" s="4">
        <v>535</v>
      </c>
      <c r="H4" s="4">
        <v>123</v>
      </c>
      <c r="I4" s="4">
        <v>12</v>
      </c>
      <c r="J4" s="4">
        <v>413</v>
      </c>
      <c r="K4" s="4">
        <v>-134</v>
      </c>
      <c r="L4" s="4">
        <v>-1</v>
      </c>
    </row>
    <row r="5" spans="1:12" x14ac:dyDescent="0.3">
      <c r="A5" s="4">
        <v>213</v>
      </c>
      <c r="B5" s="4">
        <v>413</v>
      </c>
      <c r="C5" s="4">
        <v>1124</v>
      </c>
      <c r="D5" s="4">
        <v>1414</v>
      </c>
      <c r="E5" s="4">
        <v>4</v>
      </c>
      <c r="H5" s="4">
        <v>2141</v>
      </c>
      <c r="I5" s="4">
        <v>21</v>
      </c>
      <c r="J5" s="4">
        <v>1124</v>
      </c>
      <c r="K5" s="4">
        <v>1</v>
      </c>
      <c r="L5" s="4">
        <v>-141</v>
      </c>
    </row>
    <row r="6" spans="1:12" x14ac:dyDescent="0.3">
      <c r="A6" s="4">
        <v>213</v>
      </c>
      <c r="B6" s="4">
        <v>-134</v>
      </c>
      <c r="C6" s="4">
        <v>1</v>
      </c>
      <c r="D6" s="4">
        <v>14</v>
      </c>
      <c r="E6" s="4">
        <v>4314</v>
      </c>
      <c r="H6" s="4">
        <v>1242</v>
      </c>
      <c r="I6" s="4">
        <v>532</v>
      </c>
      <c r="J6" s="4">
        <v>1414</v>
      </c>
      <c r="K6" s="4">
        <v>14</v>
      </c>
      <c r="L6" s="4">
        <v>-321</v>
      </c>
    </row>
    <row r="7" spans="1:12" x14ac:dyDescent="0.3">
      <c r="A7" s="4">
        <v>213</v>
      </c>
      <c r="B7" s="4">
        <v>-1</v>
      </c>
      <c r="C7" s="4">
        <v>-141</v>
      </c>
      <c r="D7" s="4">
        <v>-321</v>
      </c>
      <c r="E7" s="4">
        <v>314</v>
      </c>
      <c r="H7" s="4">
        <v>214</v>
      </c>
      <c r="I7" s="4">
        <v>535</v>
      </c>
      <c r="J7" s="4">
        <v>4</v>
      </c>
      <c r="K7" s="4">
        <v>4314</v>
      </c>
      <c r="L7" s="4">
        <v>314</v>
      </c>
    </row>
    <row r="10" spans="1:12" ht="17.399999999999999" x14ac:dyDescent="0.3">
      <c r="A10" s="3" t="s">
        <v>0</v>
      </c>
      <c r="H10" s="3" t="s">
        <v>9</v>
      </c>
    </row>
    <row r="11" spans="1:12" x14ac:dyDescent="0.3">
      <c r="A11" s="4">
        <v>12</v>
      </c>
      <c r="B11" s="4">
        <v>-12</v>
      </c>
      <c r="C11" s="4">
        <v>2</v>
      </c>
      <c r="D11" s="4">
        <v>4</v>
      </c>
      <c r="H11" s="4">
        <f t="array" ref="H11:J14">TRANSPOSE(A11:D13)</f>
        <v>12</v>
      </c>
      <c r="I11" s="4">
        <v>21</v>
      </c>
      <c r="J11" s="4">
        <v>12.12</v>
      </c>
    </row>
    <row r="12" spans="1:12" x14ac:dyDescent="0.3">
      <c r="A12" s="4">
        <v>21</v>
      </c>
      <c r="B12" s="4">
        <v>214</v>
      </c>
      <c r="C12" s="4">
        <v>2</v>
      </c>
      <c r="D12" s="4">
        <v>125</v>
      </c>
      <c r="H12" s="4">
        <v>-12</v>
      </c>
      <c r="I12" s="4">
        <v>214</v>
      </c>
      <c r="J12" s="4">
        <v>2</v>
      </c>
    </row>
    <row r="13" spans="1:12" x14ac:dyDescent="0.3">
      <c r="A13" s="4">
        <v>12.12</v>
      </c>
      <c r="B13" s="4">
        <v>2</v>
      </c>
      <c r="C13" s="4">
        <v>1</v>
      </c>
      <c r="D13" s="4">
        <v>5</v>
      </c>
      <c r="H13" s="4">
        <v>2</v>
      </c>
      <c r="I13" s="4">
        <v>2</v>
      </c>
      <c r="J13" s="4">
        <v>1</v>
      </c>
    </row>
    <row r="14" spans="1:12" x14ac:dyDescent="0.3">
      <c r="H14" s="4">
        <v>4</v>
      </c>
      <c r="I14" s="4">
        <v>125</v>
      </c>
      <c r="J14" s="4">
        <v>5</v>
      </c>
    </row>
    <row r="16" spans="1:12" x14ac:dyDescent="0.3">
      <c r="A16" s="3" t="s">
        <v>0</v>
      </c>
    </row>
    <row r="17" spans="1:13" ht="17.399999999999999" x14ac:dyDescent="0.3">
      <c r="H17" s="3" t="s">
        <v>9</v>
      </c>
    </row>
    <row r="18" spans="1:13" x14ac:dyDescent="0.3">
      <c r="A18" s="4">
        <v>9</v>
      </c>
      <c r="B18" s="4">
        <v>423</v>
      </c>
    </row>
    <row r="19" spans="1:13" x14ac:dyDescent="0.3">
      <c r="A19" s="4">
        <v>32</v>
      </c>
      <c r="B19" s="4">
        <v>3</v>
      </c>
      <c r="H19" s="4">
        <f t="array" ref="H19:M20">TRANSPOSE(A18:B23)</f>
        <v>9</v>
      </c>
      <c r="I19" s="4">
        <v>32</v>
      </c>
      <c r="J19" s="4">
        <v>32</v>
      </c>
      <c r="K19" s="4">
        <v>23</v>
      </c>
      <c r="L19" s="4">
        <v>6</v>
      </c>
      <c r="M19" s="4">
        <v>2</v>
      </c>
    </row>
    <row r="20" spans="1:13" x14ac:dyDescent="0.3">
      <c r="A20" s="4">
        <v>32</v>
      </c>
      <c r="B20" s="4">
        <v>5</v>
      </c>
      <c r="H20" s="4">
        <v>423</v>
      </c>
      <c r="I20" s="4">
        <v>3</v>
      </c>
      <c r="J20" s="4">
        <v>5</v>
      </c>
      <c r="K20" s="4">
        <v>3</v>
      </c>
      <c r="L20" s="4">
        <v>8</v>
      </c>
      <c r="M20" s="4">
        <v>6</v>
      </c>
    </row>
    <row r="21" spans="1:13" x14ac:dyDescent="0.3">
      <c r="A21" s="4">
        <v>23</v>
      </c>
      <c r="B21" s="4">
        <v>3</v>
      </c>
    </row>
    <row r="22" spans="1:13" x14ac:dyDescent="0.3">
      <c r="A22" s="4">
        <v>6</v>
      </c>
      <c r="B22" s="4">
        <v>8</v>
      </c>
    </row>
    <row r="23" spans="1:13" x14ac:dyDescent="0.3">
      <c r="A23" s="4">
        <v>2</v>
      </c>
      <c r="B23" s="4">
        <v>6</v>
      </c>
    </row>
    <row r="26" spans="1:13" ht="17.399999999999999" x14ac:dyDescent="0.3">
      <c r="A26" s="3" t="s">
        <v>0</v>
      </c>
      <c r="F26" s="3" t="s">
        <v>9</v>
      </c>
    </row>
    <row r="27" spans="1:13" x14ac:dyDescent="0.3">
      <c r="A27" s="4">
        <v>1.1299999999999999</v>
      </c>
      <c r="B27" s="4">
        <v>2141.1241</v>
      </c>
      <c r="C27" s="4">
        <v>214.24100000000001</v>
      </c>
    </row>
    <row r="28" spans="1:13" x14ac:dyDescent="0.3">
      <c r="A28" s="4">
        <v>124</v>
      </c>
      <c r="B28" s="4">
        <v>12141.124</v>
      </c>
      <c r="C28" s="4">
        <v>12.124000000000001</v>
      </c>
      <c r="F28" s="4">
        <f t="array" ref="F28:I30">TRANSPOSE(A27:C30)</f>
        <v>1.1299999999999999</v>
      </c>
      <c r="G28" s="4">
        <v>124</v>
      </c>
      <c r="H28" s="4">
        <v>124.2414</v>
      </c>
      <c r="I28" s="4">
        <v>11</v>
      </c>
    </row>
    <row r="29" spans="1:13" x14ac:dyDescent="0.3">
      <c r="A29" s="4">
        <v>124.2414</v>
      </c>
      <c r="B29" s="4">
        <v>21551</v>
      </c>
      <c r="C29" s="4">
        <v>125215.51251</v>
      </c>
      <c r="F29" s="4">
        <v>2141.1241</v>
      </c>
      <c r="G29" s="4">
        <v>12141.124</v>
      </c>
      <c r="H29" s="4">
        <v>21551</v>
      </c>
      <c r="I29" s="4">
        <v>22</v>
      </c>
    </row>
    <row r="30" spans="1:13" x14ac:dyDescent="0.3">
      <c r="A30" s="4">
        <v>11</v>
      </c>
      <c r="B30" s="4">
        <v>22</v>
      </c>
      <c r="C30" s="4">
        <v>11</v>
      </c>
      <c r="F30" s="4">
        <v>214.24100000000001</v>
      </c>
      <c r="G30" s="4">
        <v>12.124000000000001</v>
      </c>
      <c r="H30" s="4">
        <v>125215.51251</v>
      </c>
      <c r="I30" s="4">
        <v>11</v>
      </c>
    </row>
  </sheetData>
  <pageMargins left="0.7" right="0.7" top="0.75" bottom="0.75" header="0.3" footer="0.3"/>
  <pageSetup paperSize="9" orientation="portrait" r:id="rId1"/>
  <headerFooter>
    <oddHeader>&amp;LАннануров Даниил Петрович ИВТ 1.2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Normal="100" workbookViewId="0">
      <selection activeCell="F7" sqref="F7"/>
    </sheetView>
  </sheetViews>
  <sheetFormatPr defaultRowHeight="15.6" x14ac:dyDescent="0.3"/>
  <cols>
    <col min="1" max="1" width="11.33203125" style="3" customWidth="1"/>
    <col min="2" max="4" width="9" style="3" bestFit="1" customWidth="1"/>
    <col min="5" max="5" width="9.77734375" style="3" bestFit="1" customWidth="1"/>
    <col min="6" max="8" width="8.88671875" style="3"/>
    <col min="9" max="9" width="13.33203125" style="3" bestFit="1" customWidth="1"/>
    <col min="10" max="16384" width="8.88671875" style="3"/>
  </cols>
  <sheetData>
    <row r="1" spans="1:9" x14ac:dyDescent="0.3">
      <c r="A1" s="3" t="s">
        <v>0</v>
      </c>
    </row>
    <row r="2" spans="1:9" x14ac:dyDescent="0.3">
      <c r="I2" s="4" t="s">
        <v>11</v>
      </c>
    </row>
    <row r="3" spans="1:9" x14ac:dyDescent="0.3">
      <c r="A3" s="4">
        <v>321</v>
      </c>
      <c r="B3" s="4">
        <v>123</v>
      </c>
      <c r="C3" s="4">
        <v>2141</v>
      </c>
      <c r="D3" s="4">
        <v>1242</v>
      </c>
      <c r="E3" s="4">
        <v>214</v>
      </c>
      <c r="I3" s="4">
        <f>MDETERM(A3:E7)</f>
        <v>295318285845345</v>
      </c>
    </row>
    <row r="4" spans="1:9" x14ac:dyDescent="0.3">
      <c r="A4" s="4">
        <v>12</v>
      </c>
      <c r="B4" s="4">
        <v>12</v>
      </c>
      <c r="C4" s="4">
        <v>21</v>
      </c>
      <c r="D4" s="4">
        <v>532</v>
      </c>
      <c r="E4" s="4">
        <v>535</v>
      </c>
    </row>
    <row r="5" spans="1:9" x14ac:dyDescent="0.3">
      <c r="A5" s="4">
        <v>213</v>
      </c>
      <c r="B5" s="4">
        <v>413</v>
      </c>
      <c r="C5" s="4">
        <v>1124</v>
      </c>
      <c r="D5" s="4">
        <v>1414</v>
      </c>
      <c r="E5" s="4">
        <v>4</v>
      </c>
    </row>
    <row r="6" spans="1:9" x14ac:dyDescent="0.3">
      <c r="A6" s="4">
        <v>213</v>
      </c>
      <c r="B6" s="4">
        <v>-134</v>
      </c>
      <c r="C6" s="4">
        <v>1</v>
      </c>
      <c r="D6" s="4">
        <v>14</v>
      </c>
      <c r="E6" s="4">
        <v>4314</v>
      </c>
    </row>
    <row r="7" spans="1:9" x14ac:dyDescent="0.3">
      <c r="A7" s="4">
        <v>213</v>
      </c>
      <c r="B7" s="4">
        <v>-1</v>
      </c>
      <c r="C7" s="4">
        <v>-141</v>
      </c>
      <c r="D7" s="4">
        <v>-321</v>
      </c>
      <c r="E7" s="4">
        <v>314</v>
      </c>
    </row>
    <row r="9" spans="1:9" x14ac:dyDescent="0.3">
      <c r="A9" s="3" t="s">
        <v>10</v>
      </c>
      <c r="I9" s="4" t="s">
        <v>11</v>
      </c>
    </row>
    <row r="10" spans="1:9" x14ac:dyDescent="0.3">
      <c r="I10" s="4">
        <f>MDETERM(A11:E15)</f>
        <v>3593136.0000000005</v>
      </c>
    </row>
    <row r="11" spans="1:9" x14ac:dyDescent="0.3">
      <c r="A11" s="4">
        <v>1</v>
      </c>
      <c r="B11" s="4">
        <v>1</v>
      </c>
      <c r="C11" s="4">
        <v>1</v>
      </c>
      <c r="D11" s="4">
        <v>1</v>
      </c>
      <c r="E11" s="4">
        <v>21</v>
      </c>
    </row>
    <row r="12" spans="1:9" x14ac:dyDescent="0.3">
      <c r="A12" s="4">
        <v>6</v>
      </c>
      <c r="B12" s="4">
        <v>5</v>
      </c>
      <c r="C12" s="4">
        <v>4</v>
      </c>
      <c r="D12" s="4">
        <v>2</v>
      </c>
      <c r="E12" s="4">
        <v>4</v>
      </c>
    </row>
    <row r="13" spans="1:9" x14ac:dyDescent="0.3">
      <c r="A13" s="4">
        <v>6</v>
      </c>
      <c r="B13" s="4">
        <v>23</v>
      </c>
      <c r="C13" s="4">
        <v>3</v>
      </c>
      <c r="D13" s="4">
        <v>2</v>
      </c>
      <c r="E13" s="4">
        <v>21</v>
      </c>
    </row>
    <row r="14" spans="1:9" x14ac:dyDescent="0.3">
      <c r="A14" s="4">
        <v>6</v>
      </c>
      <c r="B14" s="4">
        <v>34</v>
      </c>
      <c r="C14" s="4">
        <v>2</v>
      </c>
      <c r="D14" s="4">
        <v>34</v>
      </c>
      <c r="E14" s="4">
        <v>41</v>
      </c>
    </row>
    <row r="15" spans="1:9" x14ac:dyDescent="0.3">
      <c r="A15" s="4">
        <v>62</v>
      </c>
      <c r="B15" s="4">
        <v>3</v>
      </c>
      <c r="C15" s="4">
        <v>2</v>
      </c>
      <c r="D15" s="4">
        <v>6</v>
      </c>
      <c r="E15" s="4">
        <v>551</v>
      </c>
    </row>
    <row r="17" spans="1:9" x14ac:dyDescent="0.3">
      <c r="A17" s="3" t="s">
        <v>0</v>
      </c>
      <c r="I17" s="4" t="s">
        <v>11</v>
      </c>
    </row>
    <row r="18" spans="1:9" x14ac:dyDescent="0.3">
      <c r="A18" s="7">
        <v>1</v>
      </c>
      <c r="B18" s="7">
        <v>2</v>
      </c>
      <c r="I18" s="4">
        <f>MDETERM(A18:B19)</f>
        <v>-1</v>
      </c>
    </row>
    <row r="19" spans="1:9" x14ac:dyDescent="0.3">
      <c r="A19" s="7">
        <v>2</v>
      </c>
      <c r="B19" s="4">
        <v>3</v>
      </c>
    </row>
    <row r="22" spans="1:9" x14ac:dyDescent="0.3">
      <c r="A22" s="3" t="s">
        <v>0</v>
      </c>
      <c r="I22" s="4" t="s">
        <v>11</v>
      </c>
    </row>
    <row r="23" spans="1:9" x14ac:dyDescent="0.3">
      <c r="A23" s="4">
        <v>35</v>
      </c>
      <c r="B23" s="4">
        <v>235</v>
      </c>
      <c r="C23" s="4">
        <v>5</v>
      </c>
      <c r="I23" s="4">
        <f>MDETERM(A23:C25)</f>
        <v>-962921</v>
      </c>
    </row>
    <row r="24" spans="1:9" x14ac:dyDescent="0.3">
      <c r="A24" s="4">
        <v>-23</v>
      </c>
      <c r="B24" s="4">
        <v>234</v>
      </c>
      <c r="C24" s="4">
        <v>23</v>
      </c>
    </row>
    <row r="25" spans="1:9" x14ac:dyDescent="0.3">
      <c r="A25" s="4">
        <v>-234</v>
      </c>
      <c r="B25" s="4">
        <v>2</v>
      </c>
      <c r="C25" s="4">
        <v>2.2000000000000002</v>
      </c>
    </row>
    <row r="26" spans="1:9" x14ac:dyDescent="0.3">
      <c r="I26" s="4" t="s">
        <v>11</v>
      </c>
    </row>
    <row r="27" spans="1:9" x14ac:dyDescent="0.3">
      <c r="A27" s="3" t="s">
        <v>0</v>
      </c>
      <c r="I27" s="4">
        <f>MDETERM(A28)</f>
        <v>-21</v>
      </c>
    </row>
    <row r="28" spans="1:9" x14ac:dyDescent="0.3">
      <c r="A28" s="4">
        <v>-21</v>
      </c>
    </row>
  </sheetData>
  <pageMargins left="0.7" right="0.7" top="0.75" bottom="0.75" header="0.3" footer="0.3"/>
  <pageSetup paperSize="9" orientation="portrait" r:id="rId1"/>
  <headerFooter>
    <oddHeader>&amp;LАннануров Даниил Петрович ИВТ 1.2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opLeftCell="J9" zoomScaleNormal="100" workbookViewId="0">
      <selection activeCell="M33" sqref="M33"/>
    </sheetView>
  </sheetViews>
  <sheetFormatPr defaultRowHeight="15.6" x14ac:dyDescent="0.3"/>
  <cols>
    <col min="1" max="16384" width="8.88671875" style="1"/>
  </cols>
  <sheetData>
    <row r="1" spans="1:11" x14ac:dyDescent="0.3">
      <c r="A1" s="3" t="s">
        <v>0</v>
      </c>
      <c r="B1" s="3"/>
      <c r="C1" s="3"/>
      <c r="D1" s="3"/>
      <c r="E1" s="3"/>
      <c r="G1" s="1" t="s">
        <v>12</v>
      </c>
    </row>
    <row r="2" spans="1:11" x14ac:dyDescent="0.3">
      <c r="A2" s="3"/>
      <c r="B2" s="3"/>
      <c r="C2" s="3"/>
      <c r="D2" s="3"/>
      <c r="E2" s="3"/>
    </row>
    <row r="3" spans="1:11" x14ac:dyDescent="0.3">
      <c r="A3" s="4">
        <v>321</v>
      </c>
      <c r="B3" s="4">
        <v>123</v>
      </c>
      <c r="C3" s="4">
        <v>2141</v>
      </c>
      <c r="D3" s="4">
        <v>1242</v>
      </c>
      <c r="E3" s="4">
        <v>214</v>
      </c>
      <c r="G3" s="2">
        <f t="array" ref="G3:K7">MINVERSE(A3:E7)</f>
        <v>5.5123618878869939E-4</v>
      </c>
      <c r="H3" s="2">
        <v>3.0048079130755535E-3</v>
      </c>
      <c r="I3" s="2">
        <v>-4.8580228844390534E-4</v>
      </c>
      <c r="J3" s="2">
        <v>-7.5907681005704837E-4</v>
      </c>
      <c r="K3" s="2">
        <v>4.9396935982282814E-3</v>
      </c>
    </row>
    <row r="4" spans="1:11" x14ac:dyDescent="0.3">
      <c r="A4" s="4">
        <v>12</v>
      </c>
      <c r="B4" s="4">
        <v>12</v>
      </c>
      <c r="C4" s="4">
        <v>21</v>
      </c>
      <c r="D4" s="4">
        <v>532</v>
      </c>
      <c r="E4" s="4">
        <v>535</v>
      </c>
      <c r="G4" s="2">
        <v>-1.8117901295661802E-3</v>
      </c>
      <c r="H4" s="2">
        <v>-5.5705099756725085E-3</v>
      </c>
      <c r="I4" s="2">
        <v>3.4009574656205842E-3</v>
      </c>
      <c r="J4" s="2">
        <v>8.6658503228960785E-4</v>
      </c>
      <c r="K4" s="2">
        <v>-1.2232666702162295E-3</v>
      </c>
    </row>
    <row r="5" spans="1:11" x14ac:dyDescent="0.3">
      <c r="A5" s="4">
        <v>213</v>
      </c>
      <c r="B5" s="4">
        <v>413</v>
      </c>
      <c r="C5" s="4">
        <v>1124</v>
      </c>
      <c r="D5" s="4">
        <v>1414</v>
      </c>
      <c r="E5" s="4">
        <v>4</v>
      </c>
      <c r="G5" s="2">
        <v>4.4156672510719679E-4</v>
      </c>
      <c r="H5" s="2">
        <v>-1.4464507475629228E-3</v>
      </c>
      <c r="I5" s="2">
        <v>-2.193191890051777E-5</v>
      </c>
      <c r="J5" s="2">
        <v>2.1398085204616559E-4</v>
      </c>
      <c r="K5" s="2">
        <v>-7.760184626698503E-4</v>
      </c>
    </row>
    <row r="6" spans="1:11" x14ac:dyDescent="0.3">
      <c r="A6" s="4">
        <v>213</v>
      </c>
      <c r="B6" s="4">
        <v>-134</v>
      </c>
      <c r="C6" s="4">
        <v>1</v>
      </c>
      <c r="D6" s="4">
        <v>14</v>
      </c>
      <c r="E6" s="4">
        <v>4314</v>
      </c>
      <c r="G6" s="2">
        <v>9.5382347897520148E-5</v>
      </c>
      <c r="H6" s="2">
        <v>2.325121338187611E-3</v>
      </c>
      <c r="I6" s="2">
        <v>-1.9589047666454144E-4</v>
      </c>
      <c r="J6" s="2">
        <v>-3.0970251510906112E-4</v>
      </c>
      <c r="K6" s="2">
        <v>2.3085501180479851E-4</v>
      </c>
    </row>
    <row r="7" spans="1:11" x14ac:dyDescent="0.3">
      <c r="A7" s="4">
        <v>213</v>
      </c>
      <c r="B7" s="4">
        <v>-1</v>
      </c>
      <c r="C7" s="4">
        <v>-141</v>
      </c>
      <c r="D7" s="4">
        <v>-321</v>
      </c>
      <c r="E7" s="4">
        <v>314</v>
      </c>
      <c r="G7" s="2">
        <v>-8.3905912185798268E-5</v>
      </c>
      <c r="H7" s="2">
        <v>-3.2859936722583958E-4</v>
      </c>
      <c r="I7" s="2">
        <v>1.3026624627350815E-4</v>
      </c>
      <c r="J7" s="2">
        <v>2.9715521771637445E-4</v>
      </c>
      <c r="K7" s="2">
        <v>-2.8245906859856182E-4</v>
      </c>
    </row>
    <row r="8" spans="1:11" x14ac:dyDescent="0.3">
      <c r="A8" s="3"/>
      <c r="B8" s="3"/>
      <c r="C8" s="3"/>
      <c r="D8" s="3"/>
      <c r="E8" s="3"/>
    </row>
    <row r="9" spans="1:11" x14ac:dyDescent="0.3">
      <c r="A9" s="3" t="s">
        <v>10</v>
      </c>
      <c r="B9" s="3"/>
      <c r="C9" s="3"/>
      <c r="D9" s="3"/>
      <c r="E9" s="3"/>
      <c r="G9" s="1" t="s">
        <v>12</v>
      </c>
    </row>
    <row r="10" spans="1:11" x14ac:dyDescent="0.3">
      <c r="A10" s="3"/>
      <c r="B10" s="3"/>
      <c r="C10" s="3"/>
      <c r="D10" s="3"/>
      <c r="E10" s="3"/>
    </row>
    <row r="11" spans="1:11" x14ac:dyDescent="0.3">
      <c r="A11" s="4">
        <v>1</v>
      </c>
      <c r="B11" s="4">
        <v>1</v>
      </c>
      <c r="C11" s="4">
        <v>1</v>
      </c>
      <c r="D11" s="4">
        <v>1</v>
      </c>
      <c r="E11" s="4">
        <v>21</v>
      </c>
      <c r="G11" s="2">
        <f t="array" ref="G11:K15">MINVERSE(A11:E15)</f>
        <v>-0.3772743364014054</v>
      </c>
      <c r="H11" s="2">
        <v>9.4095241593972534E-2</v>
      </c>
      <c r="I11" s="2">
        <v>-1.1463523785350736E-2</v>
      </c>
      <c r="J11" s="2">
        <v>3.7913955942663973E-3</v>
      </c>
      <c r="K11" s="2">
        <v>1.3850575096517357E-2</v>
      </c>
    </row>
    <row r="12" spans="1:11" x14ac:dyDescent="0.3">
      <c r="A12" s="4">
        <v>6</v>
      </c>
      <c r="B12" s="4">
        <v>5</v>
      </c>
      <c r="C12" s="4">
        <v>4</v>
      </c>
      <c r="D12" s="4">
        <v>2</v>
      </c>
      <c r="E12" s="4">
        <v>4</v>
      </c>
      <c r="G12" s="2">
        <v>-8.4227259975687072E-3</v>
      </c>
      <c r="H12" s="2">
        <v>-3.6441704405288301E-2</v>
      </c>
      <c r="I12" s="2">
        <v>5.2627008830169519E-2</v>
      </c>
      <c r="J12" s="2">
        <v>-4.5976550845834151E-4</v>
      </c>
      <c r="K12" s="2">
        <v>-1.3859759274349756E-3</v>
      </c>
    </row>
    <row r="13" spans="1:11" x14ac:dyDescent="0.3">
      <c r="A13" s="4">
        <v>6</v>
      </c>
      <c r="B13" s="4">
        <v>23</v>
      </c>
      <c r="C13" s="4">
        <v>3</v>
      </c>
      <c r="D13" s="4">
        <v>2</v>
      </c>
      <c r="E13" s="4">
        <v>21</v>
      </c>
      <c r="G13" s="2">
        <v>0.53866037912286091</v>
      </c>
      <c r="H13" s="2">
        <v>0.15345592262580651</v>
      </c>
      <c r="I13" s="2">
        <v>-2.4667031807312615E-2</v>
      </c>
      <c r="J13" s="2">
        <v>-2.0028187076692894E-2</v>
      </c>
      <c r="K13" s="2">
        <v>-1.9213300025381727E-2</v>
      </c>
    </row>
    <row r="14" spans="1:11" x14ac:dyDescent="0.3">
      <c r="A14" s="4">
        <v>6</v>
      </c>
      <c r="B14" s="4">
        <v>34</v>
      </c>
      <c r="C14" s="4">
        <v>2</v>
      </c>
      <c r="D14" s="4">
        <v>34</v>
      </c>
      <c r="E14" s="4">
        <v>41</v>
      </c>
      <c r="G14" s="2">
        <v>-5.6491042921837523E-3</v>
      </c>
      <c r="H14" s="2">
        <v>2.4329443694867101E-2</v>
      </c>
      <c r="I14" s="2">
        <v>-5.1142511722350611E-2</v>
      </c>
      <c r="J14" s="2">
        <v>3.121423736813746E-2</v>
      </c>
      <c r="K14" s="2">
        <v>-3.3480502825387095E-4</v>
      </c>
    </row>
    <row r="15" spans="1:11" x14ac:dyDescent="0.3">
      <c r="A15" s="4">
        <v>62</v>
      </c>
      <c r="B15" s="4">
        <v>3</v>
      </c>
      <c r="C15" s="4">
        <v>2</v>
      </c>
      <c r="D15" s="4">
        <v>6</v>
      </c>
      <c r="E15" s="4">
        <v>551</v>
      </c>
      <c r="G15" s="2">
        <v>4.0604085122299856E-2</v>
      </c>
      <c r="H15" s="2">
        <v>-1.1211376357588471E-2</v>
      </c>
      <c r="I15" s="2">
        <v>1.6498123088021161E-3</v>
      </c>
      <c r="J15" s="2">
        <v>-6.9131811320250565E-4</v>
      </c>
      <c r="K15" s="2">
        <v>3.3730980402634365E-4</v>
      </c>
    </row>
    <row r="16" spans="1:11" x14ac:dyDescent="0.3">
      <c r="A16" s="3"/>
      <c r="B16" s="3"/>
      <c r="C16" s="3"/>
      <c r="D16" s="3"/>
      <c r="E16" s="3"/>
    </row>
    <row r="17" spans="1:9" x14ac:dyDescent="0.3">
      <c r="A17" s="3" t="s">
        <v>0</v>
      </c>
      <c r="B17" s="3"/>
      <c r="C17" s="3"/>
      <c r="D17" s="3"/>
      <c r="E17" s="3"/>
      <c r="G17" s="1" t="s">
        <v>12</v>
      </c>
    </row>
    <row r="18" spans="1:9" x14ac:dyDescent="0.3">
      <c r="A18" s="7">
        <v>1</v>
      </c>
      <c r="B18" s="7">
        <v>2</v>
      </c>
      <c r="C18" s="3"/>
      <c r="D18" s="3"/>
      <c r="E18" s="3"/>
      <c r="G18" s="2">
        <f t="array" ref="G18:H19">MINVERSE(A18:B19)</f>
        <v>-3</v>
      </c>
      <c r="H18" s="2">
        <v>2</v>
      </c>
    </row>
    <row r="19" spans="1:9" x14ac:dyDescent="0.3">
      <c r="A19" s="7">
        <v>2</v>
      </c>
      <c r="B19" s="4">
        <v>3</v>
      </c>
      <c r="C19" s="3"/>
      <c r="D19" s="3"/>
      <c r="E19" s="3"/>
      <c r="G19" s="2">
        <v>2</v>
      </c>
      <c r="H19" s="2">
        <v>-1</v>
      </c>
    </row>
    <row r="20" spans="1:9" x14ac:dyDescent="0.3">
      <c r="A20" s="3"/>
      <c r="B20" s="3"/>
      <c r="C20" s="3"/>
      <c r="D20" s="3"/>
      <c r="E20" s="3"/>
    </row>
    <row r="21" spans="1:9" x14ac:dyDescent="0.3">
      <c r="A21" s="3"/>
      <c r="B21" s="3"/>
      <c r="C21" s="3"/>
      <c r="D21" s="3"/>
      <c r="E21" s="3"/>
    </row>
    <row r="22" spans="1:9" x14ac:dyDescent="0.3">
      <c r="A22" s="3" t="s">
        <v>0</v>
      </c>
      <c r="B22" s="3"/>
      <c r="C22" s="3"/>
      <c r="D22" s="3"/>
      <c r="E22" s="3"/>
      <c r="G22" s="1" t="s">
        <v>12</v>
      </c>
    </row>
    <row r="23" spans="1:9" x14ac:dyDescent="0.3">
      <c r="A23" s="4">
        <v>35</v>
      </c>
      <c r="B23" s="4">
        <v>235</v>
      </c>
      <c r="C23" s="4">
        <v>5</v>
      </c>
      <c r="D23" s="3"/>
      <c r="E23" s="3"/>
      <c r="G23" s="2">
        <f t="array" ref="G23:I25">MINVERSE(A23:C25)</f>
        <v>-4.8685198474225828E-4</v>
      </c>
      <c r="H23" s="2">
        <v>5.2652294424983996E-4</v>
      </c>
      <c r="I23" s="2">
        <v>-4.398076270015921E-3</v>
      </c>
    </row>
    <row r="24" spans="1:9" x14ac:dyDescent="0.3">
      <c r="A24" s="4">
        <v>-23</v>
      </c>
      <c r="B24" s="4">
        <v>234</v>
      </c>
      <c r="C24" s="4">
        <v>23</v>
      </c>
      <c r="D24" s="3"/>
      <c r="E24" s="3"/>
      <c r="G24" s="2">
        <v>5.5366951182911159E-3</v>
      </c>
      <c r="H24" s="2">
        <v>-1.2950179713600597E-3</v>
      </c>
      <c r="I24" s="2">
        <v>9.5542624992081386E-4</v>
      </c>
    </row>
    <row r="25" spans="1:9" x14ac:dyDescent="0.3">
      <c r="A25" s="4">
        <v>-234</v>
      </c>
      <c r="B25" s="4">
        <v>2</v>
      </c>
      <c r="C25" s="4">
        <v>2.2000000000000002</v>
      </c>
      <c r="D25" s="3"/>
      <c r="E25" s="3"/>
      <c r="G25" s="2">
        <v>-5.6816706666486659E-2</v>
      </c>
      <c r="H25" s="2">
        <v>5.718018404417393E-2</v>
      </c>
      <c r="I25" s="2">
        <v>-1.4118499856166809E-2</v>
      </c>
    </row>
    <row r="26" spans="1:9" x14ac:dyDescent="0.3">
      <c r="A26" s="3"/>
      <c r="B26" s="3"/>
      <c r="C26" s="3"/>
      <c r="D26" s="3"/>
      <c r="E26" s="3"/>
    </row>
    <row r="27" spans="1:9" x14ac:dyDescent="0.3">
      <c r="A27" s="3" t="s">
        <v>0</v>
      </c>
      <c r="B27" s="3"/>
      <c r="C27" s="3"/>
      <c r="D27" s="3"/>
      <c r="E27" s="3"/>
      <c r="G27" s="1" t="s">
        <v>12</v>
      </c>
    </row>
    <row r="28" spans="1:9" x14ac:dyDescent="0.3">
      <c r="A28" s="4">
        <v>-21</v>
      </c>
      <c r="B28" s="3"/>
      <c r="C28" s="3"/>
      <c r="D28" s="3"/>
      <c r="E28" s="3"/>
      <c r="G28" s="2">
        <f>MINVERSE(A28)</f>
        <v>-4.7619047619047616E-2</v>
      </c>
    </row>
  </sheetData>
  <pageMargins left="0.7" right="0.7" top="0.75" bottom="0.75" header="0.3" footer="0.3"/>
  <pageSetup paperSize="9" orientation="portrait" r:id="rId1"/>
  <headerFooter>
    <oddHeader xml:space="preserve">&amp;LАннануров Даниил Петрович ИВТ 1.2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 1</vt:lpstr>
      <vt:lpstr>Задание 2</vt:lpstr>
      <vt:lpstr>Задание 3</vt:lpstr>
      <vt:lpstr>Задание 4</vt:lpstr>
      <vt:lpstr>Задание 5</vt:lpstr>
      <vt:lpstr>Задание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2022-09-23T18:05:50Z</dcterms:modified>
</cp:coreProperties>
</file>