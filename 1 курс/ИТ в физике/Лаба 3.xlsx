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E9" i="1"/>
  <c r="G9" i="1" s="1"/>
  <c r="D9" i="1"/>
  <c r="F8" i="1"/>
  <c r="E8" i="1"/>
  <c r="D8" i="1"/>
  <c r="F7" i="1"/>
  <c r="E7" i="1"/>
  <c r="D7" i="1"/>
  <c r="F6" i="1"/>
  <c r="E6" i="1"/>
  <c r="G6" i="1" s="1"/>
  <c r="D6" i="1"/>
  <c r="F5" i="1"/>
  <c r="E5" i="1"/>
  <c r="G5" i="1" s="1"/>
  <c r="D5" i="1"/>
  <c r="F4" i="1"/>
  <c r="E4" i="1"/>
  <c r="D4" i="1"/>
  <c r="E3" i="1"/>
  <c r="F3" i="1"/>
  <c r="F2" i="1"/>
  <c r="E2" i="1"/>
  <c r="D2" i="1"/>
  <c r="H8" i="1" l="1"/>
  <c r="H7" i="1"/>
  <c r="H2" i="1"/>
  <c r="H5" i="1"/>
  <c r="H6" i="1"/>
  <c r="H4" i="1"/>
  <c r="H9" i="1"/>
  <c r="G7" i="1"/>
  <c r="G2" i="1"/>
  <c r="H3" i="1"/>
  <c r="G3" i="1"/>
  <c r="D3" i="1"/>
  <c r="G4" i="1"/>
  <c r="G8" i="1"/>
</calcChain>
</file>

<file path=xl/sharedStrings.xml><?xml version="1.0" encoding="utf-8"?>
<sst xmlns="http://schemas.openxmlformats.org/spreadsheetml/2006/main" count="8" uniqueCount="8">
  <si>
    <t>№</t>
  </si>
  <si>
    <t>I, A</t>
  </si>
  <si>
    <t>U, B</t>
  </si>
  <si>
    <t>R, Ом</t>
  </si>
  <si>
    <t>W, Вт</t>
  </si>
  <si>
    <t>η</t>
  </si>
  <si>
    <r>
      <rPr>
        <sz val="10"/>
        <color theme="1"/>
        <rFont val="Arial"/>
        <family val="2"/>
        <charset val="204"/>
      </rPr>
      <t>W</t>
    </r>
    <r>
      <rPr>
        <sz val="8"/>
        <color theme="1"/>
        <rFont val="Arial"/>
        <family val="2"/>
        <charset val="204"/>
      </rPr>
      <t>полн</t>
    </r>
    <r>
      <rPr>
        <sz val="10"/>
        <color theme="1"/>
        <rFont val="Arial"/>
        <family val="2"/>
        <charset val="204"/>
      </rPr>
      <t>, Вт</t>
    </r>
  </si>
  <si>
    <r>
      <rPr>
        <sz val="10"/>
        <color theme="1"/>
        <rFont val="Arial"/>
        <family val="2"/>
        <charset val="204"/>
      </rPr>
      <t>W</t>
    </r>
    <r>
      <rPr>
        <sz val="7"/>
        <color theme="1"/>
        <rFont val="Arial"/>
        <family val="2"/>
        <charset val="204"/>
      </rPr>
      <t>1</t>
    </r>
    <r>
      <rPr>
        <sz val="10"/>
        <color theme="1"/>
        <rFont val="Arial"/>
        <family val="2"/>
        <charset val="204"/>
      </rPr>
      <t>, Вт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</si>
</sst>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C9DAF8"/>
      </patternFill>
    </fill>
    <fill>
      <patternFill patternType="solid">
        <fgColor rgb="FFFFFF00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</a:t>
            </a:r>
            <a:r>
              <a:rPr lang="ru-RU"/>
              <a:t>(</a:t>
            </a:r>
            <a:r>
              <a:rPr lang="en-US"/>
              <a:t>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U,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Лист1!$B$2:$B$9</c:f>
              <c:numCache>
                <c:formatCode>0.00</c:formatCode>
                <c:ptCount val="8"/>
                <c:pt idx="0">
                  <c:v>0.18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0.114</c:v>
                </c:pt>
                <c:pt idx="4">
                  <c:v>9.4E-2</c:v>
                </c:pt>
                <c:pt idx="5">
                  <c:v>0.06</c:v>
                </c:pt>
                <c:pt idx="6">
                  <c:v>0.04</c:v>
                </c:pt>
                <c:pt idx="7">
                  <c:v>0.01</c:v>
                </c:pt>
              </c:numCache>
            </c:numRef>
          </c:xVal>
          <c:yVal>
            <c:numRef>
              <c:f>Лист1!$C$2:$C$9</c:f>
              <c:numCache>
                <c:formatCode>General</c:formatCode>
                <c:ptCount val="8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0.9</c:v>
                </c:pt>
                <c:pt idx="7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8-4F74-9D25-626932AD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631104"/>
        <c:axId val="244624216"/>
      </c:scatterChart>
      <c:valAx>
        <c:axId val="2446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24216"/>
        <c:crosses val="autoZero"/>
        <c:crossBetween val="midCat"/>
      </c:valAx>
      <c:valAx>
        <c:axId val="24462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3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</a:t>
            </a:r>
            <a:r>
              <a:rPr lang="ru-RU"/>
              <a:t>полн (</a:t>
            </a:r>
            <a:r>
              <a:rPr lang="en-US"/>
              <a:t>I)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Лист1!$B$2:$B$9</c:f>
              <c:numCache>
                <c:formatCode>0.00</c:formatCode>
                <c:ptCount val="8"/>
                <c:pt idx="0">
                  <c:v>0.18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0.114</c:v>
                </c:pt>
                <c:pt idx="4">
                  <c:v>9.4E-2</c:v>
                </c:pt>
                <c:pt idx="5">
                  <c:v>0.06</c:v>
                </c:pt>
                <c:pt idx="6">
                  <c:v>0.04</c:v>
                </c:pt>
                <c:pt idx="7">
                  <c:v>0.01</c:v>
                </c:pt>
              </c:numCache>
            </c:numRef>
          </c:xVal>
          <c:yVal>
            <c:numRef>
              <c:f>Лист1!$E$2:$E$9</c:f>
              <c:numCache>
                <c:formatCode>0.000</c:formatCode>
                <c:ptCount val="8"/>
                <c:pt idx="0">
                  <c:v>0.19800000000000001</c:v>
                </c:pt>
                <c:pt idx="1">
                  <c:v>0.17600000000000002</c:v>
                </c:pt>
                <c:pt idx="2">
                  <c:v>0.15400000000000003</c:v>
                </c:pt>
                <c:pt idx="3">
                  <c:v>0.12540000000000001</c:v>
                </c:pt>
                <c:pt idx="4">
                  <c:v>0.10340000000000001</c:v>
                </c:pt>
                <c:pt idx="5">
                  <c:v>6.6000000000000003E-2</c:v>
                </c:pt>
                <c:pt idx="6">
                  <c:v>4.4000000000000004E-2</c:v>
                </c:pt>
                <c:pt idx="7">
                  <c:v>1.1000000000000001E-2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E-4460-9177-E9AD8BC5E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636680"/>
        <c:axId val="244634056"/>
      </c:scatterChart>
      <c:valAx>
        <c:axId val="24463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34056"/>
        <c:crosses val="autoZero"/>
        <c:crossBetween val="midCat"/>
      </c:valAx>
      <c:valAx>
        <c:axId val="24463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3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W(I)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Лист1!$B$2:$B$9</c:f>
              <c:numCache>
                <c:formatCode>0.00</c:formatCode>
                <c:ptCount val="8"/>
                <c:pt idx="0">
                  <c:v>0.18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0.114</c:v>
                </c:pt>
                <c:pt idx="4">
                  <c:v>9.4E-2</c:v>
                </c:pt>
                <c:pt idx="5">
                  <c:v>0.06</c:v>
                </c:pt>
                <c:pt idx="6">
                  <c:v>0.04</c:v>
                </c:pt>
                <c:pt idx="7">
                  <c:v>0.01</c:v>
                </c:pt>
              </c:numCache>
            </c:numRef>
          </c:xVal>
          <c:yVal>
            <c:numRef>
              <c:f>Лист1!$F$2:$F$9</c:f>
              <c:numCache>
                <c:formatCode>0.000</c:formatCode>
                <c:ptCount val="8"/>
                <c:pt idx="0">
                  <c:v>3.5999999999999997E-2</c:v>
                </c:pt>
                <c:pt idx="1">
                  <c:v>4.8000000000000001E-2</c:v>
                </c:pt>
                <c:pt idx="2">
                  <c:v>5.6000000000000008E-2</c:v>
                </c:pt>
                <c:pt idx="3">
                  <c:v>5.7000000000000002E-2</c:v>
                </c:pt>
                <c:pt idx="4">
                  <c:v>5.6399999999999999E-2</c:v>
                </c:pt>
                <c:pt idx="5">
                  <c:v>4.1999999999999996E-2</c:v>
                </c:pt>
                <c:pt idx="6">
                  <c:v>3.6000000000000004E-2</c:v>
                </c:pt>
                <c:pt idx="7">
                  <c:v>1.1000000000000001E-2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F3-46A7-9218-49988854F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295592"/>
        <c:axId val="403291656"/>
      </c:scatterChart>
      <c:valAx>
        <c:axId val="40329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291656"/>
        <c:crosses val="autoZero"/>
        <c:crossBetween val="midCat"/>
      </c:valAx>
      <c:valAx>
        <c:axId val="40329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29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W1(I)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Лист1!$B$2:$B$9</c:f>
              <c:numCache>
                <c:formatCode>0.00</c:formatCode>
                <c:ptCount val="8"/>
                <c:pt idx="0">
                  <c:v>0.18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0.114</c:v>
                </c:pt>
                <c:pt idx="4">
                  <c:v>9.4E-2</c:v>
                </c:pt>
                <c:pt idx="5">
                  <c:v>0.06</c:v>
                </c:pt>
                <c:pt idx="6">
                  <c:v>0.04</c:v>
                </c:pt>
                <c:pt idx="7">
                  <c:v>0.01</c:v>
                </c:pt>
              </c:numCache>
            </c:numRef>
          </c:xVal>
          <c:yVal>
            <c:numRef>
              <c:f>Лист1!$G$2:$G$9</c:f>
              <c:numCache>
                <c:formatCode>0.000</c:formatCode>
                <c:ptCount val="8"/>
                <c:pt idx="0">
                  <c:v>0.16200000000000001</c:v>
                </c:pt>
                <c:pt idx="1">
                  <c:v>0.128</c:v>
                </c:pt>
                <c:pt idx="2">
                  <c:v>9.8000000000000018E-2</c:v>
                </c:pt>
                <c:pt idx="3">
                  <c:v>6.8400000000000016E-2</c:v>
                </c:pt>
                <c:pt idx="4">
                  <c:v>4.7000000000000007E-2</c:v>
                </c:pt>
                <c:pt idx="5">
                  <c:v>2.4000000000000007E-2</c:v>
                </c:pt>
                <c:pt idx="6">
                  <c:v>8.0000000000000002E-3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42-4AB3-8DE7-BD469DC2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44616"/>
        <c:axId val="312741664"/>
      </c:scatterChart>
      <c:valAx>
        <c:axId val="31274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2741664"/>
        <c:crosses val="autoZero"/>
        <c:crossBetween val="midCat"/>
      </c:valAx>
      <c:valAx>
        <c:axId val="3127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2744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η</a:t>
            </a:r>
            <a:r>
              <a:rPr lang="en-US"/>
              <a:t>(I)</a:t>
            </a:r>
            <a:endParaRPr lang="ru-RU"/>
          </a:p>
        </c:rich>
      </c:tx>
      <c:layout>
        <c:manualLayout>
          <c:xMode val="edge"/>
          <c:yMode val="edge"/>
          <c:x val="0.478211084610274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Лист1!$B$2:$B$9</c:f>
              <c:numCache>
                <c:formatCode>0.00</c:formatCode>
                <c:ptCount val="8"/>
                <c:pt idx="0">
                  <c:v>0.18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0.114</c:v>
                </c:pt>
                <c:pt idx="4">
                  <c:v>9.4E-2</c:v>
                </c:pt>
                <c:pt idx="5">
                  <c:v>0.06</c:v>
                </c:pt>
                <c:pt idx="6">
                  <c:v>0.04</c:v>
                </c:pt>
                <c:pt idx="7">
                  <c:v>0.01</c:v>
                </c:pt>
              </c:numCache>
            </c:numRef>
          </c:xVal>
          <c:yVal>
            <c:numRef>
              <c:f>Лист1!$H$2:$H$9</c:f>
              <c:numCache>
                <c:formatCode>#,##0.00</c:formatCode>
                <c:ptCount val="8"/>
                <c:pt idx="0">
                  <c:v>0.1818181818181818</c:v>
                </c:pt>
                <c:pt idx="1">
                  <c:v>0.27272727272727271</c:v>
                </c:pt>
                <c:pt idx="2">
                  <c:v>0.36363636363636365</c:v>
                </c:pt>
                <c:pt idx="3">
                  <c:v>0.45454545454545453</c:v>
                </c:pt>
                <c:pt idx="4">
                  <c:v>0.54545454545454541</c:v>
                </c:pt>
                <c:pt idx="5">
                  <c:v>0.63636363636363624</c:v>
                </c:pt>
                <c:pt idx="6">
                  <c:v>0.81818181818181823</c:v>
                </c:pt>
                <c:pt idx="7" formatCode="General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2-49AD-916F-D5BEA530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44968"/>
        <c:axId val="455145296"/>
      </c:scatterChart>
      <c:valAx>
        <c:axId val="45514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145296"/>
        <c:crosses val="autoZero"/>
        <c:crossBetween val="midCat"/>
      </c:valAx>
      <c:valAx>
        <c:axId val="4551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14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185737</xdr:rowOff>
    </xdr:from>
    <xdr:to>
      <xdr:col>8</xdr:col>
      <xdr:colOff>200025</xdr:colOff>
      <xdr:row>24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17</xdr:row>
      <xdr:rowOff>185737</xdr:rowOff>
    </xdr:from>
    <xdr:to>
      <xdr:col>16</xdr:col>
      <xdr:colOff>342900</xdr:colOff>
      <xdr:row>32</xdr:row>
      <xdr:rowOff>71437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10</xdr:row>
      <xdr:rowOff>14287</xdr:rowOff>
    </xdr:from>
    <xdr:to>
      <xdr:col>24</xdr:col>
      <xdr:colOff>314325</xdr:colOff>
      <xdr:row>24</xdr:row>
      <xdr:rowOff>90487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600075</xdr:colOff>
      <xdr:row>24</xdr:row>
      <xdr:rowOff>185737</xdr:rowOff>
    </xdr:from>
    <xdr:to>
      <xdr:col>8</xdr:col>
      <xdr:colOff>190500</xdr:colOff>
      <xdr:row>39</xdr:row>
      <xdr:rowOff>71437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535782</xdr:colOff>
      <xdr:row>0</xdr:row>
      <xdr:rowOff>0</xdr:rowOff>
    </xdr:from>
    <xdr:to>
      <xdr:col>16</xdr:col>
      <xdr:colOff>250032</xdr:colOff>
      <xdr:row>14</xdr:row>
      <xdr:rowOff>76200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Normal="100" workbookViewId="0">
      <selection activeCell="H1" sqref="H1"/>
    </sheetView>
  </sheetViews>
  <sheetFormatPr defaultRowHeight="15" x14ac:dyDescent="0.25"/>
  <cols>
    <col min="5" max="5" width="10.71093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4</v>
      </c>
      <c r="G1" s="5" t="s">
        <v>7</v>
      </c>
      <c r="H1" s="5" t="s">
        <v>5</v>
      </c>
    </row>
    <row r="2" spans="1:8" x14ac:dyDescent="0.25">
      <c r="A2" s="6">
        <v>1</v>
      </c>
      <c r="B2" s="1">
        <v>0.18</v>
      </c>
      <c r="C2" s="2">
        <v>0.2</v>
      </c>
      <c r="D2" s="3">
        <f t="shared" ref="D2:D9" si="0">C2/B2</f>
        <v>1.1111111111111112</v>
      </c>
      <c r="E2" s="4">
        <f t="shared" ref="E2:E9" si="1">$C$9*B2</f>
        <v>0.19800000000000001</v>
      </c>
      <c r="F2" s="4">
        <f t="shared" ref="F2:F9" si="2">B2*C2</f>
        <v>3.5999999999999997E-2</v>
      </c>
      <c r="G2" s="4">
        <f t="shared" ref="G2:G9" si="3">E2-F2</f>
        <v>0.16200000000000001</v>
      </c>
      <c r="H2" s="3">
        <f t="shared" ref="H2:H9" si="4">F2/E2</f>
        <v>0.1818181818181818</v>
      </c>
    </row>
    <row r="3" spans="1:8" x14ac:dyDescent="0.25">
      <c r="A3" s="6">
        <v>2</v>
      </c>
      <c r="B3" s="1">
        <v>0.16</v>
      </c>
      <c r="C3" s="2">
        <v>0.3</v>
      </c>
      <c r="D3" s="3">
        <f t="shared" si="0"/>
        <v>1.875</v>
      </c>
      <c r="E3" s="4">
        <f t="shared" si="1"/>
        <v>0.17600000000000002</v>
      </c>
      <c r="F3" s="4">
        <f t="shared" si="2"/>
        <v>4.8000000000000001E-2</v>
      </c>
      <c r="G3" s="4">
        <f t="shared" si="3"/>
        <v>0.128</v>
      </c>
      <c r="H3" s="3">
        <f t="shared" si="4"/>
        <v>0.27272727272727271</v>
      </c>
    </row>
    <row r="4" spans="1:8" x14ac:dyDescent="0.25">
      <c r="A4" s="6">
        <v>3</v>
      </c>
      <c r="B4" s="1">
        <v>0.14000000000000001</v>
      </c>
      <c r="C4" s="2">
        <v>0.4</v>
      </c>
      <c r="D4" s="3">
        <f t="shared" si="0"/>
        <v>2.8571428571428572</v>
      </c>
      <c r="E4" s="4">
        <f t="shared" si="1"/>
        <v>0.15400000000000003</v>
      </c>
      <c r="F4" s="4">
        <f t="shared" si="2"/>
        <v>5.6000000000000008E-2</v>
      </c>
      <c r="G4" s="4">
        <f t="shared" si="3"/>
        <v>9.8000000000000018E-2</v>
      </c>
      <c r="H4" s="3">
        <f t="shared" si="4"/>
        <v>0.36363636363636365</v>
      </c>
    </row>
    <row r="5" spans="1:8" x14ac:dyDescent="0.25">
      <c r="A5" s="6">
        <v>4</v>
      </c>
      <c r="B5" s="1">
        <v>0.114</v>
      </c>
      <c r="C5" s="2">
        <v>0.5</v>
      </c>
      <c r="D5" s="3">
        <f t="shared" si="0"/>
        <v>4.3859649122807012</v>
      </c>
      <c r="E5" s="4">
        <f t="shared" si="1"/>
        <v>0.12540000000000001</v>
      </c>
      <c r="F5" s="4">
        <f t="shared" si="2"/>
        <v>5.7000000000000002E-2</v>
      </c>
      <c r="G5" s="4">
        <f t="shared" si="3"/>
        <v>6.8400000000000016E-2</v>
      </c>
      <c r="H5" s="3">
        <f t="shared" si="4"/>
        <v>0.45454545454545453</v>
      </c>
    </row>
    <row r="6" spans="1:8" x14ac:dyDescent="0.25">
      <c r="A6" s="6">
        <v>5</v>
      </c>
      <c r="B6" s="1">
        <v>9.4E-2</v>
      </c>
      <c r="C6" s="2">
        <v>0.6</v>
      </c>
      <c r="D6" s="3">
        <f t="shared" si="0"/>
        <v>6.3829787234042552</v>
      </c>
      <c r="E6" s="4">
        <f t="shared" si="1"/>
        <v>0.10340000000000001</v>
      </c>
      <c r="F6" s="4">
        <f t="shared" si="2"/>
        <v>5.6399999999999999E-2</v>
      </c>
      <c r="G6" s="4">
        <f t="shared" si="3"/>
        <v>4.7000000000000007E-2</v>
      </c>
      <c r="H6" s="3">
        <f t="shared" si="4"/>
        <v>0.54545454545454541</v>
      </c>
    </row>
    <row r="7" spans="1:8" x14ac:dyDescent="0.25">
      <c r="A7" s="6">
        <v>6</v>
      </c>
      <c r="B7" s="1">
        <v>0.06</v>
      </c>
      <c r="C7" s="2">
        <v>0.7</v>
      </c>
      <c r="D7" s="3">
        <f t="shared" si="0"/>
        <v>11.666666666666666</v>
      </c>
      <c r="E7" s="4">
        <f t="shared" si="1"/>
        <v>6.6000000000000003E-2</v>
      </c>
      <c r="F7" s="4">
        <f t="shared" si="2"/>
        <v>4.1999999999999996E-2</v>
      </c>
      <c r="G7" s="4">
        <f t="shared" si="3"/>
        <v>2.4000000000000007E-2</v>
      </c>
      <c r="H7" s="3">
        <f t="shared" si="4"/>
        <v>0.63636363636363624</v>
      </c>
    </row>
    <row r="8" spans="1:8" x14ac:dyDescent="0.25">
      <c r="A8" s="6">
        <v>7</v>
      </c>
      <c r="B8" s="1">
        <v>0.04</v>
      </c>
      <c r="C8" s="2">
        <v>0.9</v>
      </c>
      <c r="D8" s="3">
        <f t="shared" si="0"/>
        <v>22.5</v>
      </c>
      <c r="E8" s="4">
        <f t="shared" si="1"/>
        <v>4.4000000000000004E-2</v>
      </c>
      <c r="F8" s="4">
        <f t="shared" si="2"/>
        <v>3.6000000000000004E-2</v>
      </c>
      <c r="G8" s="4">
        <f t="shared" si="3"/>
        <v>8.0000000000000002E-3</v>
      </c>
      <c r="H8" s="3">
        <f t="shared" si="4"/>
        <v>0.81818181818181823</v>
      </c>
    </row>
    <row r="9" spans="1:8" x14ac:dyDescent="0.25">
      <c r="A9" s="6">
        <v>8</v>
      </c>
      <c r="B9" s="1">
        <v>0.01</v>
      </c>
      <c r="C9" s="2">
        <v>1.1000000000000001</v>
      </c>
      <c r="D9" s="3">
        <f t="shared" si="0"/>
        <v>110</v>
      </c>
      <c r="E9" s="4">
        <f t="shared" si="1"/>
        <v>1.1000000000000001E-2</v>
      </c>
      <c r="F9" s="4">
        <f t="shared" si="2"/>
        <v>1.1000000000000001E-2</v>
      </c>
      <c r="G9" s="4">
        <f t="shared" si="3"/>
        <v>0</v>
      </c>
      <c r="H9" s="2">
        <f t="shared" si="4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2023-05-29T20:49:33Z</dcterms:modified>
</cp:coreProperties>
</file>