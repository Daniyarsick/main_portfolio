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an\OneDrive\Рабочий стол\"/>
    </mc:Choice>
  </mc:AlternateContent>
  <bookViews>
    <workbookView xWindow="0" yWindow="0" windowWidth="28800" windowHeight="11865" activeTab="2"/>
  </bookViews>
  <sheets>
    <sheet name="Аи-92" sheetId="1" r:id="rId1"/>
    <sheet name="Дизельное топливо" sheetId="2" r:id="rId2"/>
    <sheet name="Керосин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" i="3"/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  <c r="B3" i="1"/>
  <c r="B4" i="1"/>
  <c r="B5" i="1"/>
  <c r="C5" i="1" s="1"/>
  <c r="B6" i="1"/>
  <c r="C6" i="1" s="1"/>
  <c r="B7" i="1"/>
  <c r="B8" i="1"/>
  <c r="B9" i="1"/>
  <c r="C9" i="1" s="1"/>
  <c r="B10" i="1"/>
  <c r="C10" i="1" s="1"/>
  <c r="B11" i="1"/>
  <c r="B12" i="1"/>
  <c r="B13" i="1"/>
  <c r="C13" i="1" s="1"/>
  <c r="B14" i="1"/>
  <c r="C14" i="1" s="1"/>
  <c r="B15" i="1"/>
  <c r="B16" i="1"/>
  <c r="B17" i="1"/>
  <c r="C17" i="1" s="1"/>
  <c r="B18" i="1"/>
  <c r="C18" i="1" s="1"/>
  <c r="B19" i="1"/>
  <c r="B20" i="1"/>
  <c r="B21" i="1"/>
  <c r="C21" i="1" s="1"/>
  <c r="B22" i="1"/>
  <c r="C22" i="1" s="1"/>
  <c r="B23" i="1"/>
  <c r="B24" i="1"/>
  <c r="B25" i="1"/>
  <c r="C25" i="1" s="1"/>
  <c r="B26" i="1"/>
  <c r="C26" i="1" s="1"/>
  <c r="B27" i="1"/>
  <c r="B28" i="1"/>
  <c r="B29" i="1"/>
  <c r="C29" i="1" s="1"/>
  <c r="B30" i="1"/>
  <c r="C30" i="1" s="1"/>
  <c r="B31" i="1"/>
  <c r="B32" i="1"/>
  <c r="B33" i="1"/>
  <c r="C33" i="1" s="1"/>
  <c r="B34" i="1"/>
  <c r="C34" i="1" s="1"/>
  <c r="B35" i="1"/>
  <c r="B36" i="1"/>
  <c r="B2" i="1"/>
  <c r="C2" i="1" s="1"/>
  <c r="C3" i="1"/>
  <c r="C4" i="1"/>
  <c r="C7" i="1"/>
  <c r="C8" i="1"/>
  <c r="C11" i="1"/>
  <c r="C12" i="1"/>
  <c r="C15" i="1"/>
  <c r="C16" i="1"/>
  <c r="C19" i="1"/>
  <c r="C20" i="1"/>
  <c r="C23" i="1"/>
  <c r="C24" i="1"/>
  <c r="C27" i="1"/>
  <c r="C28" i="1"/>
  <c r="C31" i="1"/>
  <c r="C32" i="1"/>
  <c r="C35" i="1"/>
  <c r="C36" i="1"/>
</calcChain>
</file>

<file path=xl/sharedStrings.xml><?xml version="1.0" encoding="utf-8"?>
<sst xmlns="http://schemas.openxmlformats.org/spreadsheetml/2006/main" count="9" uniqueCount="4">
  <si>
    <t>Т кипения</t>
  </si>
  <si>
    <t>Т вспышки</t>
  </si>
  <si>
    <t xml:space="preserve">Т воспламенения </t>
  </si>
  <si>
    <t>Т воспламенения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</si>
</sst>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Изменение температуры воспламенения от различных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температур кипения бензина АИ-92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550029818615559E-2"/>
          <c:y val="0.12070172262632364"/>
          <c:w val="0.87883917607716522"/>
          <c:h val="0.8209189234892331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'Аи-92'!$A$2:$A$36</c:f>
              <c:numCache>
                <c:formatCode>General</c:formatCode>
                <c:ptCount val="35"/>
                <c:pt idx="0">
                  <c:v>33</c:v>
                </c:pt>
                <c:pt idx="1">
                  <c:v>38</c:v>
                </c:pt>
                <c:pt idx="2">
                  <c:v>43</c:v>
                </c:pt>
                <c:pt idx="3">
                  <c:v>48</c:v>
                </c:pt>
                <c:pt idx="4">
                  <c:v>53</c:v>
                </c:pt>
                <c:pt idx="5">
                  <c:v>58</c:v>
                </c:pt>
                <c:pt idx="6">
                  <c:v>63</c:v>
                </c:pt>
                <c:pt idx="7">
                  <c:v>68</c:v>
                </c:pt>
                <c:pt idx="8">
                  <c:v>73</c:v>
                </c:pt>
                <c:pt idx="9">
                  <c:v>78</c:v>
                </c:pt>
                <c:pt idx="10">
                  <c:v>83</c:v>
                </c:pt>
                <c:pt idx="11">
                  <c:v>88</c:v>
                </c:pt>
                <c:pt idx="12">
                  <c:v>93</c:v>
                </c:pt>
                <c:pt idx="13">
                  <c:v>98</c:v>
                </c:pt>
                <c:pt idx="14">
                  <c:v>103</c:v>
                </c:pt>
                <c:pt idx="15">
                  <c:v>108</c:v>
                </c:pt>
                <c:pt idx="16">
                  <c:v>113</c:v>
                </c:pt>
                <c:pt idx="17">
                  <c:v>118</c:v>
                </c:pt>
                <c:pt idx="18">
                  <c:v>123</c:v>
                </c:pt>
                <c:pt idx="19">
                  <c:v>128</c:v>
                </c:pt>
                <c:pt idx="20">
                  <c:v>133</c:v>
                </c:pt>
                <c:pt idx="21">
                  <c:v>138</c:v>
                </c:pt>
                <c:pt idx="22">
                  <c:v>143</c:v>
                </c:pt>
                <c:pt idx="23">
                  <c:v>148</c:v>
                </c:pt>
                <c:pt idx="24">
                  <c:v>153</c:v>
                </c:pt>
                <c:pt idx="25">
                  <c:v>158</c:v>
                </c:pt>
                <c:pt idx="26">
                  <c:v>163</c:v>
                </c:pt>
                <c:pt idx="27">
                  <c:v>168</c:v>
                </c:pt>
                <c:pt idx="28">
                  <c:v>173</c:v>
                </c:pt>
                <c:pt idx="29">
                  <c:v>178</c:v>
                </c:pt>
                <c:pt idx="30">
                  <c:v>183</c:v>
                </c:pt>
                <c:pt idx="31">
                  <c:v>188</c:v>
                </c:pt>
                <c:pt idx="32">
                  <c:v>193</c:v>
                </c:pt>
                <c:pt idx="33">
                  <c:v>198</c:v>
                </c:pt>
                <c:pt idx="34">
                  <c:v>203</c:v>
                </c:pt>
              </c:numCache>
            </c:numRef>
          </c:cat>
          <c:val>
            <c:numRef>
              <c:f>'Аи-92'!$C$2:$C$36</c:f>
              <c:numCache>
                <c:formatCode>General</c:formatCode>
                <c:ptCount val="35"/>
                <c:pt idx="0">
                  <c:v>-87.901782807218794</c:v>
                </c:pt>
                <c:pt idx="1">
                  <c:v>-82.901782807218794</c:v>
                </c:pt>
                <c:pt idx="2">
                  <c:v>-77.901782807218794</c:v>
                </c:pt>
                <c:pt idx="3">
                  <c:v>-72.901782807218794</c:v>
                </c:pt>
                <c:pt idx="4">
                  <c:v>-67.901782807218794</c:v>
                </c:pt>
                <c:pt idx="5">
                  <c:v>-62.901782807218794</c:v>
                </c:pt>
                <c:pt idx="6">
                  <c:v>-57.901782807218794</c:v>
                </c:pt>
                <c:pt idx="7">
                  <c:v>-52.901782807218794</c:v>
                </c:pt>
                <c:pt idx="8">
                  <c:v>-47.901782807218794</c:v>
                </c:pt>
                <c:pt idx="9">
                  <c:v>-42.901782807218794</c:v>
                </c:pt>
                <c:pt idx="10">
                  <c:v>-37.901782807218794</c:v>
                </c:pt>
                <c:pt idx="11">
                  <c:v>-32.901782807218794</c:v>
                </c:pt>
                <c:pt idx="12">
                  <c:v>-27.901782807218794</c:v>
                </c:pt>
                <c:pt idx="13">
                  <c:v>-22.901782807218794</c:v>
                </c:pt>
                <c:pt idx="14">
                  <c:v>-17.901782807218794</c:v>
                </c:pt>
                <c:pt idx="15">
                  <c:v>-12.901782807218794</c:v>
                </c:pt>
                <c:pt idx="16">
                  <c:v>-7.9017828072187939</c:v>
                </c:pt>
                <c:pt idx="17">
                  <c:v>-2.9017828072187939</c:v>
                </c:pt>
                <c:pt idx="18">
                  <c:v>2.0982171927812061</c:v>
                </c:pt>
                <c:pt idx="19">
                  <c:v>7.0982171927812061</c:v>
                </c:pt>
                <c:pt idx="20">
                  <c:v>12.098217192781206</c:v>
                </c:pt>
                <c:pt idx="21">
                  <c:v>17.098217192781206</c:v>
                </c:pt>
                <c:pt idx="22">
                  <c:v>22.098217192781206</c:v>
                </c:pt>
                <c:pt idx="23">
                  <c:v>27.098217192781206</c:v>
                </c:pt>
                <c:pt idx="24">
                  <c:v>32.098217192781206</c:v>
                </c:pt>
                <c:pt idx="25">
                  <c:v>37.098217192781206</c:v>
                </c:pt>
                <c:pt idx="26">
                  <c:v>42.098217192781206</c:v>
                </c:pt>
                <c:pt idx="27">
                  <c:v>47.098217192781206</c:v>
                </c:pt>
                <c:pt idx="28">
                  <c:v>52.098217192781206</c:v>
                </c:pt>
                <c:pt idx="29">
                  <c:v>57.098217192781206</c:v>
                </c:pt>
                <c:pt idx="30">
                  <c:v>62.098217192781206</c:v>
                </c:pt>
                <c:pt idx="31">
                  <c:v>67.098217192781206</c:v>
                </c:pt>
                <c:pt idx="32">
                  <c:v>72.098217192781206</c:v>
                </c:pt>
                <c:pt idx="33">
                  <c:v>77.098217192781206</c:v>
                </c:pt>
                <c:pt idx="34">
                  <c:v>82.098217192781206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E-4EE6-AFFC-29E35B4A7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808688"/>
        <c:axId val="464811968"/>
      </c:lineChart>
      <c:catAx>
        <c:axId val="46480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</a:t>
                </a: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кип</a:t>
                </a:r>
              </a:p>
            </c:rich>
          </c:tx>
          <c:layout>
            <c:manualLayout>
              <c:xMode val="edge"/>
              <c:yMode val="edge"/>
              <c:x val="0.95731410052181398"/>
              <c:y val="0.51388475198019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811968"/>
        <c:crosses val="autoZero"/>
        <c:auto val="1"/>
        <c:lblAlgn val="ctr"/>
        <c:lblOffset val="100"/>
        <c:noMultiLvlLbl val="0"/>
      </c:catAx>
      <c:valAx>
        <c:axId val="4648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ru-RU" sz="14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воспл</a:t>
                </a:r>
              </a:p>
            </c:rich>
          </c:tx>
          <c:layout>
            <c:manualLayout>
              <c:xMode val="edge"/>
              <c:yMode val="edge"/>
              <c:x val="2.8305397052109615E-2"/>
              <c:y val="5.33277059680594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8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Изменение температуры воспламенения от различных  температур кипения</a:t>
            </a:r>
            <a:r>
              <a:rPr lang="en-US" sz="14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ru-RU" sz="14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дизельного топлива</a:t>
            </a:r>
            <a:endParaRPr lang="ru-RU" sz="11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1394042564372782"/>
          <c:y val="4.4555830121600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9636876682968142E-2"/>
          <c:y val="0.23863724615359766"/>
          <c:w val="0.89377778241261441"/>
          <c:h val="0.685793451784478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'Дизельное топливо'!$A$2:$A$38</c:f>
              <c:numCache>
                <c:formatCode>General</c:formatCode>
                <c:ptCount val="37"/>
                <c:pt idx="0">
                  <c:v>180</c:v>
                </c:pt>
                <c:pt idx="1">
                  <c:v>185</c:v>
                </c:pt>
                <c:pt idx="2">
                  <c:v>190</c:v>
                </c:pt>
                <c:pt idx="3">
                  <c:v>195</c:v>
                </c:pt>
                <c:pt idx="4">
                  <c:v>200</c:v>
                </c:pt>
                <c:pt idx="5">
                  <c:v>205</c:v>
                </c:pt>
                <c:pt idx="6">
                  <c:v>210</c:v>
                </c:pt>
                <c:pt idx="7">
                  <c:v>215</c:v>
                </c:pt>
                <c:pt idx="8">
                  <c:v>220</c:v>
                </c:pt>
                <c:pt idx="9">
                  <c:v>225</c:v>
                </c:pt>
                <c:pt idx="10">
                  <c:v>230</c:v>
                </c:pt>
                <c:pt idx="11">
                  <c:v>235</c:v>
                </c:pt>
                <c:pt idx="12">
                  <c:v>240</c:v>
                </c:pt>
                <c:pt idx="13">
                  <c:v>245</c:v>
                </c:pt>
                <c:pt idx="14">
                  <c:v>250</c:v>
                </c:pt>
                <c:pt idx="15">
                  <c:v>255</c:v>
                </c:pt>
                <c:pt idx="16">
                  <c:v>260</c:v>
                </c:pt>
                <c:pt idx="17">
                  <c:v>265</c:v>
                </c:pt>
                <c:pt idx="18">
                  <c:v>270</c:v>
                </c:pt>
                <c:pt idx="19">
                  <c:v>275</c:v>
                </c:pt>
                <c:pt idx="20">
                  <c:v>280</c:v>
                </c:pt>
                <c:pt idx="21">
                  <c:v>285</c:v>
                </c:pt>
                <c:pt idx="22">
                  <c:v>290</c:v>
                </c:pt>
                <c:pt idx="23">
                  <c:v>295</c:v>
                </c:pt>
                <c:pt idx="24">
                  <c:v>300</c:v>
                </c:pt>
                <c:pt idx="25">
                  <c:v>305</c:v>
                </c:pt>
                <c:pt idx="26">
                  <c:v>310</c:v>
                </c:pt>
                <c:pt idx="27">
                  <c:v>315</c:v>
                </c:pt>
                <c:pt idx="28">
                  <c:v>320</c:v>
                </c:pt>
                <c:pt idx="29">
                  <c:v>325</c:v>
                </c:pt>
                <c:pt idx="30">
                  <c:v>330</c:v>
                </c:pt>
                <c:pt idx="31">
                  <c:v>335</c:v>
                </c:pt>
                <c:pt idx="32">
                  <c:v>340</c:v>
                </c:pt>
                <c:pt idx="33">
                  <c:v>345</c:v>
                </c:pt>
                <c:pt idx="34">
                  <c:v>350</c:v>
                </c:pt>
                <c:pt idx="35">
                  <c:v>355</c:v>
                </c:pt>
                <c:pt idx="36">
                  <c:v>360</c:v>
                </c:pt>
              </c:numCache>
            </c:numRef>
          </c:cat>
          <c:val>
            <c:numRef>
              <c:f>'Дизельное топливо'!$C$2:$C$38</c:f>
              <c:numCache>
                <c:formatCode>General</c:formatCode>
                <c:ptCount val="37"/>
                <c:pt idx="0">
                  <c:v>34.068197477764215</c:v>
                </c:pt>
                <c:pt idx="1">
                  <c:v>39.068197477764215</c:v>
                </c:pt>
                <c:pt idx="2">
                  <c:v>44.068197477764215</c:v>
                </c:pt>
                <c:pt idx="3">
                  <c:v>49.068197477764215</c:v>
                </c:pt>
                <c:pt idx="4">
                  <c:v>54.068197477764215</c:v>
                </c:pt>
                <c:pt idx="5">
                  <c:v>59.068197477764215</c:v>
                </c:pt>
                <c:pt idx="6">
                  <c:v>64.068197477764215</c:v>
                </c:pt>
                <c:pt idx="7">
                  <c:v>69.068197477764215</c:v>
                </c:pt>
                <c:pt idx="8">
                  <c:v>74.068197477764215</c:v>
                </c:pt>
                <c:pt idx="9">
                  <c:v>79.068197477764215</c:v>
                </c:pt>
                <c:pt idx="10">
                  <c:v>84.068197477764215</c:v>
                </c:pt>
                <c:pt idx="11">
                  <c:v>89.068197477764215</c:v>
                </c:pt>
                <c:pt idx="12">
                  <c:v>94.068197477764215</c:v>
                </c:pt>
                <c:pt idx="13">
                  <c:v>99.068197477764215</c:v>
                </c:pt>
                <c:pt idx="14">
                  <c:v>104.06819747776422</c:v>
                </c:pt>
                <c:pt idx="15">
                  <c:v>109.06819747776422</c:v>
                </c:pt>
                <c:pt idx="16">
                  <c:v>114.06819747776422</c:v>
                </c:pt>
                <c:pt idx="17">
                  <c:v>119.06819747776422</c:v>
                </c:pt>
                <c:pt idx="18">
                  <c:v>124.06819747776422</c:v>
                </c:pt>
                <c:pt idx="19">
                  <c:v>129.06819747776422</c:v>
                </c:pt>
                <c:pt idx="20">
                  <c:v>134.06819747776422</c:v>
                </c:pt>
                <c:pt idx="21">
                  <c:v>139.06819747776422</c:v>
                </c:pt>
                <c:pt idx="22">
                  <c:v>144.06819747776422</c:v>
                </c:pt>
                <c:pt idx="23">
                  <c:v>149.06819747776422</c:v>
                </c:pt>
                <c:pt idx="24">
                  <c:v>154.06819747776422</c:v>
                </c:pt>
                <c:pt idx="25">
                  <c:v>159.06819747776422</c:v>
                </c:pt>
                <c:pt idx="26">
                  <c:v>164.06819747776422</c:v>
                </c:pt>
                <c:pt idx="27">
                  <c:v>169.06819747776422</c:v>
                </c:pt>
                <c:pt idx="28">
                  <c:v>174.06819747776422</c:v>
                </c:pt>
                <c:pt idx="29">
                  <c:v>179.06819747776422</c:v>
                </c:pt>
                <c:pt idx="30">
                  <c:v>184.06819747776422</c:v>
                </c:pt>
                <c:pt idx="31">
                  <c:v>189.06819747776422</c:v>
                </c:pt>
                <c:pt idx="32">
                  <c:v>194.06819747776422</c:v>
                </c:pt>
                <c:pt idx="33">
                  <c:v>199.06819747776422</c:v>
                </c:pt>
                <c:pt idx="34">
                  <c:v>204.06819747776422</c:v>
                </c:pt>
                <c:pt idx="35">
                  <c:v>209.06819747776422</c:v>
                </c:pt>
                <c:pt idx="36">
                  <c:v>214.06819747776422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2-4CF8-88E6-C1C3E4D53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753608"/>
        <c:axId val="541757216"/>
      </c:lineChart>
      <c:catAx>
        <c:axId val="54175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757216"/>
        <c:crosses val="autoZero"/>
        <c:auto val="1"/>
        <c:lblAlgn val="ctr"/>
        <c:lblOffset val="100"/>
        <c:noMultiLvlLbl val="0"/>
      </c:catAx>
      <c:valAx>
        <c:axId val="5417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753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Изменение температуры воспламенения от различных  температур кипения керосин</a:t>
            </a:r>
            <a:endPara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Керосин!$A$2:$A$22</c:f>
              <c:numCache>
                <c:formatCode>General</c:formatCode>
                <c:ptCount val="21"/>
                <c:pt idx="0">
                  <c:v>150</c:v>
                </c:pt>
                <c:pt idx="1">
                  <c:v>155</c:v>
                </c:pt>
                <c:pt idx="2">
                  <c:v>160</c:v>
                </c:pt>
                <c:pt idx="3">
                  <c:v>165</c:v>
                </c:pt>
                <c:pt idx="4">
                  <c:v>170</c:v>
                </c:pt>
                <c:pt idx="5">
                  <c:v>175</c:v>
                </c:pt>
                <c:pt idx="6">
                  <c:v>180</c:v>
                </c:pt>
                <c:pt idx="7">
                  <c:v>185</c:v>
                </c:pt>
                <c:pt idx="8">
                  <c:v>190</c:v>
                </c:pt>
                <c:pt idx="9">
                  <c:v>195</c:v>
                </c:pt>
                <c:pt idx="10">
                  <c:v>200</c:v>
                </c:pt>
                <c:pt idx="11">
                  <c:v>205</c:v>
                </c:pt>
                <c:pt idx="12">
                  <c:v>210</c:v>
                </c:pt>
                <c:pt idx="13">
                  <c:v>215</c:v>
                </c:pt>
                <c:pt idx="14">
                  <c:v>220</c:v>
                </c:pt>
                <c:pt idx="15">
                  <c:v>225</c:v>
                </c:pt>
                <c:pt idx="16">
                  <c:v>230</c:v>
                </c:pt>
                <c:pt idx="17">
                  <c:v>235</c:v>
                </c:pt>
                <c:pt idx="18">
                  <c:v>240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Керосин!$C$2:$C$22</c:f>
              <c:numCache>
                <c:formatCode>General</c:formatCode>
                <c:ptCount val="21"/>
                <c:pt idx="0">
                  <c:v>-2.3418548067672873</c:v>
                </c:pt>
                <c:pt idx="1">
                  <c:v>2.6581451932327127</c:v>
                </c:pt>
                <c:pt idx="2">
                  <c:v>7.6581451932327127</c:v>
                </c:pt>
                <c:pt idx="3">
                  <c:v>12.658145193232713</c:v>
                </c:pt>
                <c:pt idx="4">
                  <c:v>17.658145193232713</c:v>
                </c:pt>
                <c:pt idx="5">
                  <c:v>22.658145193232713</c:v>
                </c:pt>
                <c:pt idx="6">
                  <c:v>27.658145193232713</c:v>
                </c:pt>
                <c:pt idx="7">
                  <c:v>32.658145193232713</c:v>
                </c:pt>
                <c:pt idx="8">
                  <c:v>37.658145193232713</c:v>
                </c:pt>
                <c:pt idx="9">
                  <c:v>42.658145193232713</c:v>
                </c:pt>
                <c:pt idx="10">
                  <c:v>47.658145193232713</c:v>
                </c:pt>
                <c:pt idx="11">
                  <c:v>52.658145193232713</c:v>
                </c:pt>
                <c:pt idx="12">
                  <c:v>57.658145193232713</c:v>
                </c:pt>
                <c:pt idx="13">
                  <c:v>62.658145193232713</c:v>
                </c:pt>
                <c:pt idx="14">
                  <c:v>67.658145193232713</c:v>
                </c:pt>
                <c:pt idx="15">
                  <c:v>72.658145193232713</c:v>
                </c:pt>
                <c:pt idx="16">
                  <c:v>77.658145193232713</c:v>
                </c:pt>
                <c:pt idx="17">
                  <c:v>82.658145193232713</c:v>
                </c:pt>
                <c:pt idx="18">
                  <c:v>87.658145193232713</c:v>
                </c:pt>
                <c:pt idx="19">
                  <c:v>92.658145193232713</c:v>
                </c:pt>
                <c:pt idx="20">
                  <c:v>97.658145193232713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6-4ADD-9CE5-AD53ECBF5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42304"/>
        <c:axId val="536741320"/>
      </c:lineChart>
      <c:catAx>
        <c:axId val="53674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</a:t>
                </a: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кип</a:t>
                </a:r>
              </a:p>
            </c:rich>
          </c:tx>
          <c:layout>
            <c:manualLayout>
              <c:xMode val="edge"/>
              <c:yMode val="edge"/>
              <c:x val="0.93924165197923115"/>
              <c:y val="0.86208018644150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741320"/>
        <c:crosses val="autoZero"/>
        <c:auto val="1"/>
        <c:lblAlgn val="ctr"/>
        <c:lblOffset val="100"/>
        <c:noMultiLvlLbl val="0"/>
      </c:catAx>
      <c:valAx>
        <c:axId val="53674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воспл</a:t>
                </a:r>
                <a:endParaRPr lang="ru-RU" sz="14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144612560622518E-2"/>
              <c:y val="8.53473140410149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74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4761</xdr:rowOff>
    </xdr:from>
    <xdr:to>
      <xdr:col>18</xdr:col>
      <xdr:colOff>0</xdr:colOff>
      <xdr:row>23</xdr:row>
      <xdr:rowOff>228600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9523</xdr:colOff>
      <xdr:row>0</xdr:row>
      <xdr:rowOff>4762</xdr:rowOff>
    </xdr:from>
    <xdr:to>
      <xdr:col>18</xdr:col>
      <xdr:colOff>9524</xdr:colOff>
      <xdr:row>24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0.00893</cdr:x>
      <cdr:y>0.15448</cdr:y>
    </cdr:from>
    <cdr:to>
      <cdr:x>0.09679</cdr:x>
      <cdr:y>0.21654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6200" y="895350"/>
          <a:ext cx="749873" cy="35969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0.92499</cdr:x>
      <cdr:y>0.88907</cdr:y>
    </cdr:from>
    <cdr:to>
      <cdr:x>1</cdr:x>
      <cdr:y>0.95113</cdr:y>
    </cdr:to>
    <cdr:pic>
      <cdr:nvPicPr>
        <cdr:cNvPr id="7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7894266" y="5153025"/>
          <a:ext cx="640135" cy="359695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588868</xdr:colOff>
      <xdr:row>0</xdr:row>
      <xdr:rowOff>3081</xdr:rowOff>
    </xdr:from>
    <xdr:to>
      <xdr:col>18</xdr:col>
      <xdr:colOff>0</xdr:colOff>
      <xdr:row>21</xdr:row>
      <xdr:rowOff>224118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zoomScaleNormal="100" workbookViewId="0">
      <selection activeCell="W24" sqref="W24"/>
    </sheetView>
  </sheetViews>
  <sheetFormatPr defaultRowHeight="15" x14ac:dyDescent="0.25"/>
  <cols>
    <col min="1" max="1" width="12.85546875" customWidth="1"/>
    <col min="2" max="2" width="14" customWidth="1"/>
    <col min="3" max="3" width="23.28515625" customWidth="1"/>
  </cols>
  <sheetData>
    <row r="1" spans="1:3" ht="18.75" x14ac:dyDescent="0.25">
      <c r="A1" s="2" t="s">
        <v>0</v>
      </c>
      <c r="B1" s="2" t="s">
        <v>1</v>
      </c>
      <c r="C1" s="2" t="s">
        <v>2</v>
      </c>
    </row>
    <row r="2" spans="1:3" ht="18.75" x14ac:dyDescent="0.25">
      <c r="A2" s="1">
        <v>33</v>
      </c>
      <c r="B2" s="1">
        <f>A2-18*SQRT(47)</f>
        <v>-90.401782807218794</v>
      </c>
      <c r="C2" s="1">
        <f>B2+2.5</f>
        <v>-87.901782807218794</v>
      </c>
    </row>
    <row r="3" spans="1:3" ht="18.75" x14ac:dyDescent="0.25">
      <c r="A3" s="1">
        <v>38</v>
      </c>
      <c r="B3" s="1">
        <f t="shared" ref="B3:B36" si="0">A3-18*SQRT(47)</f>
        <v>-85.401782807218794</v>
      </c>
      <c r="C3" s="1">
        <f t="shared" ref="C3:C36" si="1">B3+2.5</f>
        <v>-82.901782807218794</v>
      </c>
    </row>
    <row r="4" spans="1:3" ht="18.75" x14ac:dyDescent="0.25">
      <c r="A4" s="1">
        <v>43</v>
      </c>
      <c r="B4" s="1">
        <f t="shared" si="0"/>
        <v>-80.401782807218794</v>
      </c>
      <c r="C4" s="1">
        <f t="shared" si="1"/>
        <v>-77.901782807218794</v>
      </c>
    </row>
    <row r="5" spans="1:3" ht="18.75" x14ac:dyDescent="0.25">
      <c r="A5" s="1">
        <v>48</v>
      </c>
      <c r="B5" s="1">
        <f t="shared" si="0"/>
        <v>-75.401782807218794</v>
      </c>
      <c r="C5" s="1">
        <f t="shared" si="1"/>
        <v>-72.901782807218794</v>
      </c>
    </row>
    <row r="6" spans="1:3" ht="18.75" x14ac:dyDescent="0.25">
      <c r="A6" s="1">
        <v>53</v>
      </c>
      <c r="B6" s="1">
        <f t="shared" si="0"/>
        <v>-70.401782807218794</v>
      </c>
      <c r="C6" s="1">
        <f t="shared" si="1"/>
        <v>-67.901782807218794</v>
      </c>
    </row>
    <row r="7" spans="1:3" ht="18.75" x14ac:dyDescent="0.25">
      <c r="A7" s="1">
        <v>58</v>
      </c>
      <c r="B7" s="1">
        <f t="shared" si="0"/>
        <v>-65.401782807218794</v>
      </c>
      <c r="C7" s="1">
        <f t="shared" si="1"/>
        <v>-62.901782807218794</v>
      </c>
    </row>
    <row r="8" spans="1:3" ht="18.75" x14ac:dyDescent="0.25">
      <c r="A8" s="1">
        <v>63</v>
      </c>
      <c r="B8" s="1">
        <f t="shared" si="0"/>
        <v>-60.401782807218794</v>
      </c>
      <c r="C8" s="1">
        <f t="shared" si="1"/>
        <v>-57.901782807218794</v>
      </c>
    </row>
    <row r="9" spans="1:3" ht="18.75" x14ac:dyDescent="0.25">
      <c r="A9" s="1">
        <v>68</v>
      </c>
      <c r="B9" s="1">
        <f t="shared" si="0"/>
        <v>-55.401782807218794</v>
      </c>
      <c r="C9" s="1">
        <f t="shared" si="1"/>
        <v>-52.901782807218794</v>
      </c>
    </row>
    <row r="10" spans="1:3" ht="18.75" x14ac:dyDescent="0.25">
      <c r="A10" s="1">
        <v>73</v>
      </c>
      <c r="B10" s="1">
        <f t="shared" si="0"/>
        <v>-50.401782807218794</v>
      </c>
      <c r="C10" s="1">
        <f t="shared" si="1"/>
        <v>-47.901782807218794</v>
      </c>
    </row>
    <row r="11" spans="1:3" ht="18.75" x14ac:dyDescent="0.25">
      <c r="A11" s="1">
        <v>78</v>
      </c>
      <c r="B11" s="1">
        <f t="shared" si="0"/>
        <v>-45.401782807218794</v>
      </c>
      <c r="C11" s="1">
        <f t="shared" si="1"/>
        <v>-42.901782807218794</v>
      </c>
    </row>
    <row r="12" spans="1:3" ht="18.75" x14ac:dyDescent="0.25">
      <c r="A12" s="1">
        <v>83</v>
      </c>
      <c r="B12" s="1">
        <f t="shared" si="0"/>
        <v>-40.401782807218794</v>
      </c>
      <c r="C12" s="1">
        <f t="shared" si="1"/>
        <v>-37.901782807218794</v>
      </c>
    </row>
    <row r="13" spans="1:3" ht="18.75" x14ac:dyDescent="0.25">
      <c r="A13" s="1">
        <v>88</v>
      </c>
      <c r="B13" s="1">
        <f t="shared" si="0"/>
        <v>-35.401782807218794</v>
      </c>
      <c r="C13" s="1">
        <f t="shared" si="1"/>
        <v>-32.901782807218794</v>
      </c>
    </row>
    <row r="14" spans="1:3" ht="18.75" x14ac:dyDescent="0.25">
      <c r="A14" s="1">
        <v>93</v>
      </c>
      <c r="B14" s="1">
        <f t="shared" si="0"/>
        <v>-30.401782807218794</v>
      </c>
      <c r="C14" s="1">
        <f t="shared" si="1"/>
        <v>-27.901782807218794</v>
      </c>
    </row>
    <row r="15" spans="1:3" ht="18.75" x14ac:dyDescent="0.25">
      <c r="A15" s="1">
        <v>98</v>
      </c>
      <c r="B15" s="1">
        <f t="shared" si="0"/>
        <v>-25.401782807218794</v>
      </c>
      <c r="C15" s="1">
        <f t="shared" si="1"/>
        <v>-22.901782807218794</v>
      </c>
    </row>
    <row r="16" spans="1:3" ht="18.75" x14ac:dyDescent="0.25">
      <c r="A16" s="1">
        <v>103</v>
      </c>
      <c r="B16" s="1">
        <f t="shared" si="0"/>
        <v>-20.401782807218794</v>
      </c>
      <c r="C16" s="1">
        <f t="shared" si="1"/>
        <v>-17.901782807218794</v>
      </c>
    </row>
    <row r="17" spans="1:3" ht="18.75" x14ac:dyDescent="0.25">
      <c r="A17" s="1">
        <v>108</v>
      </c>
      <c r="B17" s="1">
        <f t="shared" si="0"/>
        <v>-15.401782807218794</v>
      </c>
      <c r="C17" s="1">
        <f t="shared" si="1"/>
        <v>-12.901782807218794</v>
      </c>
    </row>
    <row r="18" spans="1:3" ht="18.75" x14ac:dyDescent="0.25">
      <c r="A18" s="1">
        <v>113</v>
      </c>
      <c r="B18" s="1">
        <f t="shared" si="0"/>
        <v>-10.401782807218794</v>
      </c>
      <c r="C18" s="1">
        <f t="shared" si="1"/>
        <v>-7.9017828072187939</v>
      </c>
    </row>
    <row r="19" spans="1:3" ht="18.75" x14ac:dyDescent="0.25">
      <c r="A19" s="1">
        <v>118</v>
      </c>
      <c r="B19" s="1">
        <f t="shared" si="0"/>
        <v>-5.4017828072187939</v>
      </c>
      <c r="C19" s="1">
        <f t="shared" si="1"/>
        <v>-2.9017828072187939</v>
      </c>
    </row>
    <row r="20" spans="1:3" ht="18.75" x14ac:dyDescent="0.25">
      <c r="A20" s="1">
        <v>123</v>
      </c>
      <c r="B20" s="1">
        <f t="shared" si="0"/>
        <v>-0.40178280721879389</v>
      </c>
      <c r="C20" s="1">
        <f t="shared" si="1"/>
        <v>2.0982171927812061</v>
      </c>
    </row>
    <row r="21" spans="1:3" ht="18.75" x14ac:dyDescent="0.25">
      <c r="A21" s="1">
        <v>128</v>
      </c>
      <c r="B21" s="1">
        <f t="shared" si="0"/>
        <v>4.5982171927812061</v>
      </c>
      <c r="C21" s="1">
        <f t="shared" si="1"/>
        <v>7.0982171927812061</v>
      </c>
    </row>
    <row r="22" spans="1:3" ht="18.75" x14ac:dyDescent="0.25">
      <c r="A22" s="1">
        <v>133</v>
      </c>
      <c r="B22" s="1">
        <f t="shared" si="0"/>
        <v>9.5982171927812061</v>
      </c>
      <c r="C22" s="1">
        <f t="shared" si="1"/>
        <v>12.098217192781206</v>
      </c>
    </row>
    <row r="23" spans="1:3" ht="18.75" x14ac:dyDescent="0.25">
      <c r="A23" s="1">
        <v>138</v>
      </c>
      <c r="B23" s="1">
        <f t="shared" si="0"/>
        <v>14.598217192781206</v>
      </c>
      <c r="C23" s="1">
        <f t="shared" si="1"/>
        <v>17.098217192781206</v>
      </c>
    </row>
    <row r="24" spans="1:3" ht="18.75" x14ac:dyDescent="0.25">
      <c r="A24" s="1">
        <v>143</v>
      </c>
      <c r="B24" s="1">
        <f t="shared" si="0"/>
        <v>19.598217192781206</v>
      </c>
      <c r="C24" s="1">
        <f t="shared" si="1"/>
        <v>22.098217192781206</v>
      </c>
    </row>
    <row r="25" spans="1:3" ht="18.75" x14ac:dyDescent="0.25">
      <c r="A25" s="1">
        <v>148</v>
      </c>
      <c r="B25" s="1">
        <f t="shared" si="0"/>
        <v>24.598217192781206</v>
      </c>
      <c r="C25" s="1">
        <f t="shared" si="1"/>
        <v>27.098217192781206</v>
      </c>
    </row>
    <row r="26" spans="1:3" ht="18.75" x14ac:dyDescent="0.25">
      <c r="A26" s="1">
        <v>153</v>
      </c>
      <c r="B26" s="1">
        <f t="shared" si="0"/>
        <v>29.598217192781206</v>
      </c>
      <c r="C26" s="1">
        <f t="shared" si="1"/>
        <v>32.098217192781206</v>
      </c>
    </row>
    <row r="27" spans="1:3" ht="18.75" x14ac:dyDescent="0.25">
      <c r="A27" s="1">
        <v>158</v>
      </c>
      <c r="B27" s="1">
        <f t="shared" si="0"/>
        <v>34.598217192781206</v>
      </c>
      <c r="C27" s="1">
        <f t="shared" si="1"/>
        <v>37.098217192781206</v>
      </c>
    </row>
    <row r="28" spans="1:3" ht="18.75" x14ac:dyDescent="0.25">
      <c r="A28" s="1">
        <v>163</v>
      </c>
      <c r="B28" s="1">
        <f t="shared" si="0"/>
        <v>39.598217192781206</v>
      </c>
      <c r="C28" s="1">
        <f t="shared" si="1"/>
        <v>42.098217192781206</v>
      </c>
    </row>
    <row r="29" spans="1:3" ht="18.75" x14ac:dyDescent="0.25">
      <c r="A29" s="1">
        <v>168</v>
      </c>
      <c r="B29" s="1">
        <f t="shared" si="0"/>
        <v>44.598217192781206</v>
      </c>
      <c r="C29" s="1">
        <f t="shared" si="1"/>
        <v>47.098217192781206</v>
      </c>
    </row>
    <row r="30" spans="1:3" ht="18.75" x14ac:dyDescent="0.25">
      <c r="A30" s="1">
        <v>173</v>
      </c>
      <c r="B30" s="1">
        <f t="shared" si="0"/>
        <v>49.598217192781206</v>
      </c>
      <c r="C30" s="1">
        <f t="shared" si="1"/>
        <v>52.098217192781206</v>
      </c>
    </row>
    <row r="31" spans="1:3" ht="18.75" x14ac:dyDescent="0.25">
      <c r="A31" s="1">
        <v>178</v>
      </c>
      <c r="B31" s="1">
        <f t="shared" si="0"/>
        <v>54.598217192781206</v>
      </c>
      <c r="C31" s="1">
        <f t="shared" si="1"/>
        <v>57.098217192781206</v>
      </c>
    </row>
    <row r="32" spans="1:3" ht="18.75" x14ac:dyDescent="0.25">
      <c r="A32" s="1">
        <v>183</v>
      </c>
      <c r="B32" s="1">
        <f t="shared" si="0"/>
        <v>59.598217192781206</v>
      </c>
      <c r="C32" s="1">
        <f t="shared" si="1"/>
        <v>62.098217192781206</v>
      </c>
    </row>
    <row r="33" spans="1:3" ht="18.75" x14ac:dyDescent="0.25">
      <c r="A33" s="1">
        <v>188</v>
      </c>
      <c r="B33" s="1">
        <f t="shared" si="0"/>
        <v>64.598217192781206</v>
      </c>
      <c r="C33" s="1">
        <f t="shared" si="1"/>
        <v>67.098217192781206</v>
      </c>
    </row>
    <row r="34" spans="1:3" ht="18.75" x14ac:dyDescent="0.25">
      <c r="A34" s="1">
        <v>193</v>
      </c>
      <c r="B34" s="1">
        <f t="shared" si="0"/>
        <v>69.598217192781206</v>
      </c>
      <c r="C34" s="1">
        <f t="shared" si="1"/>
        <v>72.098217192781206</v>
      </c>
    </row>
    <row r="35" spans="1:3" ht="18.75" x14ac:dyDescent="0.25">
      <c r="A35" s="1">
        <v>198</v>
      </c>
      <c r="B35" s="1">
        <f t="shared" si="0"/>
        <v>74.598217192781206</v>
      </c>
      <c r="C35" s="1">
        <f t="shared" si="1"/>
        <v>77.098217192781206</v>
      </c>
    </row>
    <row r="36" spans="1:3" ht="18.75" x14ac:dyDescent="0.25">
      <c r="A36" s="1">
        <v>203</v>
      </c>
      <c r="B36" s="1">
        <f t="shared" si="0"/>
        <v>79.598217192781206</v>
      </c>
      <c r="C36" s="1">
        <f t="shared" si="1"/>
        <v>82.098217192781206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zoomScaleNormal="100" workbookViewId="0">
      <selection activeCell="U15" sqref="U15"/>
    </sheetView>
  </sheetViews>
  <sheetFormatPr defaultRowHeight="15" x14ac:dyDescent="0.25"/>
  <cols>
    <col min="1" max="1" width="13.140625" customWidth="1"/>
    <col min="2" max="2" width="14.5703125" customWidth="1"/>
    <col min="3" max="3" width="21" customWidth="1"/>
  </cols>
  <sheetData>
    <row r="1" spans="1:3" ht="18.75" x14ac:dyDescent="0.25">
      <c r="A1" s="2" t="s">
        <v>0</v>
      </c>
      <c r="B1" s="2" t="s">
        <v>1</v>
      </c>
      <c r="C1" s="2" t="s">
        <v>3</v>
      </c>
    </row>
    <row r="2" spans="1:3" ht="18.75" x14ac:dyDescent="0.25">
      <c r="A2" s="1">
        <v>180</v>
      </c>
      <c r="B2" s="1">
        <f>A2-18*SQRT(68)</f>
        <v>31.568197477764215</v>
      </c>
      <c r="C2" s="1">
        <f>B2+2.5</f>
        <v>34.068197477764215</v>
      </c>
    </row>
    <row r="3" spans="1:3" ht="18.75" x14ac:dyDescent="0.25">
      <c r="A3" s="1">
        <v>185</v>
      </c>
      <c r="B3" s="1">
        <f t="shared" ref="B3:B38" si="0">A3-18*SQRT(68)</f>
        <v>36.568197477764215</v>
      </c>
      <c r="C3" s="1">
        <f t="shared" ref="C3:C38" si="1">B3+2.5</f>
        <v>39.068197477764215</v>
      </c>
    </row>
    <row r="4" spans="1:3" ht="18.75" x14ac:dyDescent="0.25">
      <c r="A4" s="1">
        <v>190</v>
      </c>
      <c r="B4" s="1">
        <f t="shared" si="0"/>
        <v>41.568197477764215</v>
      </c>
      <c r="C4" s="1">
        <f t="shared" si="1"/>
        <v>44.068197477764215</v>
      </c>
    </row>
    <row r="5" spans="1:3" ht="18.75" x14ac:dyDescent="0.25">
      <c r="A5" s="1">
        <v>195</v>
      </c>
      <c r="B5" s="1">
        <f t="shared" si="0"/>
        <v>46.568197477764215</v>
      </c>
      <c r="C5" s="1">
        <f t="shared" si="1"/>
        <v>49.068197477764215</v>
      </c>
    </row>
    <row r="6" spans="1:3" ht="18.75" x14ac:dyDescent="0.25">
      <c r="A6" s="1">
        <v>200</v>
      </c>
      <c r="B6" s="1">
        <f t="shared" si="0"/>
        <v>51.568197477764215</v>
      </c>
      <c r="C6" s="1">
        <f t="shared" si="1"/>
        <v>54.068197477764215</v>
      </c>
    </row>
    <row r="7" spans="1:3" ht="18.75" x14ac:dyDescent="0.25">
      <c r="A7" s="1">
        <v>205</v>
      </c>
      <c r="B7" s="1">
        <f t="shared" si="0"/>
        <v>56.568197477764215</v>
      </c>
      <c r="C7" s="1">
        <f t="shared" si="1"/>
        <v>59.068197477764215</v>
      </c>
    </row>
    <row r="8" spans="1:3" ht="18.75" x14ac:dyDescent="0.25">
      <c r="A8" s="1">
        <v>210</v>
      </c>
      <c r="B8" s="1">
        <f t="shared" si="0"/>
        <v>61.568197477764215</v>
      </c>
      <c r="C8" s="1">
        <f t="shared" si="1"/>
        <v>64.068197477764215</v>
      </c>
    </row>
    <row r="9" spans="1:3" ht="18.75" x14ac:dyDescent="0.25">
      <c r="A9" s="1">
        <v>215</v>
      </c>
      <c r="B9" s="1">
        <f t="shared" si="0"/>
        <v>66.568197477764215</v>
      </c>
      <c r="C9" s="1">
        <f t="shared" si="1"/>
        <v>69.068197477764215</v>
      </c>
    </row>
    <row r="10" spans="1:3" ht="18.75" x14ac:dyDescent="0.25">
      <c r="A10" s="1">
        <v>220</v>
      </c>
      <c r="B10" s="1">
        <f t="shared" si="0"/>
        <v>71.568197477764215</v>
      </c>
      <c r="C10" s="1">
        <f t="shared" si="1"/>
        <v>74.068197477764215</v>
      </c>
    </row>
    <row r="11" spans="1:3" ht="18.75" x14ac:dyDescent="0.25">
      <c r="A11" s="1">
        <v>225</v>
      </c>
      <c r="B11" s="1">
        <f t="shared" si="0"/>
        <v>76.568197477764215</v>
      </c>
      <c r="C11" s="1">
        <f t="shared" si="1"/>
        <v>79.068197477764215</v>
      </c>
    </row>
    <row r="12" spans="1:3" ht="18.75" x14ac:dyDescent="0.25">
      <c r="A12" s="1">
        <v>230</v>
      </c>
      <c r="B12" s="1">
        <f t="shared" si="0"/>
        <v>81.568197477764215</v>
      </c>
      <c r="C12" s="1">
        <f t="shared" si="1"/>
        <v>84.068197477764215</v>
      </c>
    </row>
    <row r="13" spans="1:3" ht="18.75" x14ac:dyDescent="0.25">
      <c r="A13" s="1">
        <v>235</v>
      </c>
      <c r="B13" s="1">
        <f t="shared" si="0"/>
        <v>86.568197477764215</v>
      </c>
      <c r="C13" s="1">
        <f t="shared" si="1"/>
        <v>89.068197477764215</v>
      </c>
    </row>
    <row r="14" spans="1:3" ht="18.75" x14ac:dyDescent="0.25">
      <c r="A14" s="1">
        <v>240</v>
      </c>
      <c r="B14" s="1">
        <f t="shared" si="0"/>
        <v>91.568197477764215</v>
      </c>
      <c r="C14" s="1">
        <f t="shared" si="1"/>
        <v>94.068197477764215</v>
      </c>
    </row>
    <row r="15" spans="1:3" ht="18.75" x14ac:dyDescent="0.25">
      <c r="A15" s="1">
        <v>245</v>
      </c>
      <c r="B15" s="1">
        <f t="shared" si="0"/>
        <v>96.568197477764215</v>
      </c>
      <c r="C15" s="1">
        <f t="shared" si="1"/>
        <v>99.068197477764215</v>
      </c>
    </row>
    <row r="16" spans="1:3" ht="18.75" x14ac:dyDescent="0.25">
      <c r="A16" s="1">
        <v>250</v>
      </c>
      <c r="B16" s="1">
        <f t="shared" si="0"/>
        <v>101.56819747776422</v>
      </c>
      <c r="C16" s="1">
        <f t="shared" si="1"/>
        <v>104.06819747776422</v>
      </c>
    </row>
    <row r="17" spans="1:3" ht="18.75" x14ac:dyDescent="0.25">
      <c r="A17" s="1">
        <v>255</v>
      </c>
      <c r="B17" s="1">
        <f t="shared" si="0"/>
        <v>106.56819747776422</v>
      </c>
      <c r="C17" s="1">
        <f t="shared" si="1"/>
        <v>109.06819747776422</v>
      </c>
    </row>
    <row r="18" spans="1:3" ht="18.75" x14ac:dyDescent="0.25">
      <c r="A18" s="1">
        <v>260</v>
      </c>
      <c r="B18" s="1">
        <f t="shared" si="0"/>
        <v>111.56819747776422</v>
      </c>
      <c r="C18" s="1">
        <f t="shared" si="1"/>
        <v>114.06819747776422</v>
      </c>
    </row>
    <row r="19" spans="1:3" ht="18.75" x14ac:dyDescent="0.25">
      <c r="A19" s="1">
        <v>265</v>
      </c>
      <c r="B19" s="1">
        <f t="shared" si="0"/>
        <v>116.56819747776422</v>
      </c>
      <c r="C19" s="1">
        <f t="shared" si="1"/>
        <v>119.06819747776422</v>
      </c>
    </row>
    <row r="20" spans="1:3" ht="18.75" x14ac:dyDescent="0.25">
      <c r="A20" s="1">
        <v>270</v>
      </c>
      <c r="B20" s="1">
        <f t="shared" si="0"/>
        <v>121.56819747776422</v>
      </c>
      <c r="C20" s="1">
        <f t="shared" si="1"/>
        <v>124.06819747776422</v>
      </c>
    </row>
    <row r="21" spans="1:3" ht="18.75" x14ac:dyDescent="0.25">
      <c r="A21" s="1">
        <v>275</v>
      </c>
      <c r="B21" s="1">
        <f t="shared" si="0"/>
        <v>126.56819747776422</v>
      </c>
      <c r="C21" s="1">
        <f t="shared" si="1"/>
        <v>129.06819747776422</v>
      </c>
    </row>
    <row r="22" spans="1:3" ht="18.75" x14ac:dyDescent="0.25">
      <c r="A22" s="1">
        <v>280</v>
      </c>
      <c r="B22" s="1">
        <f t="shared" si="0"/>
        <v>131.56819747776422</v>
      </c>
      <c r="C22" s="1">
        <f t="shared" si="1"/>
        <v>134.06819747776422</v>
      </c>
    </row>
    <row r="23" spans="1:3" ht="18.75" x14ac:dyDescent="0.25">
      <c r="A23" s="1">
        <v>285</v>
      </c>
      <c r="B23" s="1">
        <f t="shared" si="0"/>
        <v>136.56819747776422</v>
      </c>
      <c r="C23" s="1">
        <f t="shared" si="1"/>
        <v>139.06819747776422</v>
      </c>
    </row>
    <row r="24" spans="1:3" ht="18.75" x14ac:dyDescent="0.25">
      <c r="A24" s="1">
        <v>290</v>
      </c>
      <c r="B24" s="1">
        <f t="shared" si="0"/>
        <v>141.56819747776422</v>
      </c>
      <c r="C24" s="1">
        <f t="shared" si="1"/>
        <v>144.06819747776422</v>
      </c>
    </row>
    <row r="25" spans="1:3" ht="18.75" x14ac:dyDescent="0.25">
      <c r="A25" s="1">
        <v>295</v>
      </c>
      <c r="B25" s="1">
        <f t="shared" si="0"/>
        <v>146.56819747776422</v>
      </c>
      <c r="C25" s="1">
        <f t="shared" si="1"/>
        <v>149.06819747776422</v>
      </c>
    </row>
    <row r="26" spans="1:3" ht="18.75" x14ac:dyDescent="0.25">
      <c r="A26" s="1">
        <v>300</v>
      </c>
      <c r="B26" s="1">
        <f t="shared" si="0"/>
        <v>151.56819747776422</v>
      </c>
      <c r="C26" s="1">
        <f t="shared" si="1"/>
        <v>154.06819747776422</v>
      </c>
    </row>
    <row r="27" spans="1:3" ht="18.75" x14ac:dyDescent="0.25">
      <c r="A27" s="1">
        <v>305</v>
      </c>
      <c r="B27" s="1">
        <f t="shared" si="0"/>
        <v>156.56819747776422</v>
      </c>
      <c r="C27" s="1">
        <f t="shared" si="1"/>
        <v>159.06819747776422</v>
      </c>
    </row>
    <row r="28" spans="1:3" ht="18.75" x14ac:dyDescent="0.25">
      <c r="A28" s="1">
        <v>310</v>
      </c>
      <c r="B28" s="1">
        <f t="shared" si="0"/>
        <v>161.56819747776422</v>
      </c>
      <c r="C28" s="1">
        <f t="shared" si="1"/>
        <v>164.06819747776422</v>
      </c>
    </row>
    <row r="29" spans="1:3" ht="18.75" x14ac:dyDescent="0.25">
      <c r="A29" s="1">
        <v>315</v>
      </c>
      <c r="B29" s="1">
        <f t="shared" si="0"/>
        <v>166.56819747776422</v>
      </c>
      <c r="C29" s="1">
        <f t="shared" si="1"/>
        <v>169.06819747776422</v>
      </c>
    </row>
    <row r="30" spans="1:3" ht="18.75" x14ac:dyDescent="0.25">
      <c r="A30" s="1">
        <v>320</v>
      </c>
      <c r="B30" s="1">
        <f t="shared" si="0"/>
        <v>171.56819747776422</v>
      </c>
      <c r="C30" s="1">
        <f t="shared" si="1"/>
        <v>174.06819747776422</v>
      </c>
    </row>
    <row r="31" spans="1:3" ht="18.75" x14ac:dyDescent="0.25">
      <c r="A31" s="1">
        <v>325</v>
      </c>
      <c r="B31" s="1">
        <f t="shared" si="0"/>
        <v>176.56819747776422</v>
      </c>
      <c r="C31" s="1">
        <f t="shared" si="1"/>
        <v>179.06819747776422</v>
      </c>
    </row>
    <row r="32" spans="1:3" ht="18.75" x14ac:dyDescent="0.25">
      <c r="A32" s="1">
        <v>330</v>
      </c>
      <c r="B32" s="1">
        <f t="shared" si="0"/>
        <v>181.56819747776422</v>
      </c>
      <c r="C32" s="1">
        <f t="shared" si="1"/>
        <v>184.06819747776422</v>
      </c>
    </row>
    <row r="33" spans="1:3" ht="18.75" x14ac:dyDescent="0.25">
      <c r="A33" s="1">
        <v>335</v>
      </c>
      <c r="B33" s="1">
        <f t="shared" si="0"/>
        <v>186.56819747776422</v>
      </c>
      <c r="C33" s="1">
        <f t="shared" si="1"/>
        <v>189.06819747776422</v>
      </c>
    </row>
    <row r="34" spans="1:3" ht="18.75" x14ac:dyDescent="0.25">
      <c r="A34" s="1">
        <v>340</v>
      </c>
      <c r="B34" s="1">
        <f t="shared" si="0"/>
        <v>191.56819747776422</v>
      </c>
      <c r="C34" s="1">
        <f t="shared" si="1"/>
        <v>194.06819747776422</v>
      </c>
    </row>
    <row r="35" spans="1:3" ht="18.75" x14ac:dyDescent="0.25">
      <c r="A35" s="1">
        <v>345</v>
      </c>
      <c r="B35" s="1">
        <f t="shared" si="0"/>
        <v>196.56819747776422</v>
      </c>
      <c r="C35" s="1">
        <f t="shared" si="1"/>
        <v>199.06819747776422</v>
      </c>
    </row>
    <row r="36" spans="1:3" ht="18.75" x14ac:dyDescent="0.25">
      <c r="A36" s="1">
        <v>350</v>
      </c>
      <c r="B36" s="1">
        <f t="shared" si="0"/>
        <v>201.56819747776422</v>
      </c>
      <c r="C36" s="1">
        <f t="shared" si="1"/>
        <v>204.06819747776422</v>
      </c>
    </row>
    <row r="37" spans="1:3" ht="18.75" x14ac:dyDescent="0.25">
      <c r="A37" s="1">
        <v>355</v>
      </c>
      <c r="B37" s="1">
        <f t="shared" si="0"/>
        <v>206.56819747776422</v>
      </c>
      <c r="C37" s="1">
        <f t="shared" si="1"/>
        <v>209.06819747776422</v>
      </c>
    </row>
    <row r="38" spans="1:3" ht="18.75" x14ac:dyDescent="0.25">
      <c r="A38" s="1">
        <v>360</v>
      </c>
      <c r="B38" s="1">
        <f t="shared" si="0"/>
        <v>211.56819747776422</v>
      </c>
      <c r="C38" s="1">
        <f t="shared" si="1"/>
        <v>214.06819747776422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zoomScale="85" zoomScaleNormal="85" workbookViewId="0">
      <selection activeCell="L35" sqref="L35"/>
    </sheetView>
  </sheetViews>
  <sheetFormatPr defaultRowHeight="15" x14ac:dyDescent="0.25"/>
  <cols>
    <col min="1" max="1" width="13.42578125" style="3" customWidth="1"/>
    <col min="2" max="2" width="14.42578125" style="3" customWidth="1"/>
    <col min="3" max="3" width="21.28515625" style="3" customWidth="1"/>
    <col min="4" max="16384" width="9.140625" style="3"/>
  </cols>
  <sheetData>
    <row r="1" spans="1:3" ht="18.75" x14ac:dyDescent="0.25">
      <c r="A1" s="2" t="s">
        <v>0</v>
      </c>
      <c r="B1" s="2" t="s">
        <v>1</v>
      </c>
      <c r="C1" s="2" t="s">
        <v>3</v>
      </c>
    </row>
    <row r="2" spans="1:3" ht="18.75" x14ac:dyDescent="0.25">
      <c r="A2" s="1">
        <v>150</v>
      </c>
      <c r="B2" s="1">
        <f>A2-18*SQRT(74)</f>
        <v>-4.8418548067672873</v>
      </c>
      <c r="C2" s="1">
        <f>B2+2.5</f>
        <v>-2.3418548067672873</v>
      </c>
    </row>
    <row r="3" spans="1:3" ht="18.75" x14ac:dyDescent="0.25">
      <c r="A3" s="1">
        <v>155</v>
      </c>
      <c r="B3" s="1">
        <f t="shared" ref="B3:B22" si="0">A3-18*SQRT(74)</f>
        <v>0.1581451932327127</v>
      </c>
      <c r="C3" s="1">
        <f t="shared" ref="C3:C22" si="1">B3+2.5</f>
        <v>2.6581451932327127</v>
      </c>
    </row>
    <row r="4" spans="1:3" ht="18.75" x14ac:dyDescent="0.25">
      <c r="A4" s="1">
        <v>160</v>
      </c>
      <c r="B4" s="1">
        <f t="shared" si="0"/>
        <v>5.1581451932327127</v>
      </c>
      <c r="C4" s="1">
        <f t="shared" si="1"/>
        <v>7.6581451932327127</v>
      </c>
    </row>
    <row r="5" spans="1:3" ht="18.75" x14ac:dyDescent="0.25">
      <c r="A5" s="1">
        <v>165</v>
      </c>
      <c r="B5" s="1">
        <f t="shared" si="0"/>
        <v>10.158145193232713</v>
      </c>
      <c r="C5" s="1">
        <f t="shared" si="1"/>
        <v>12.658145193232713</v>
      </c>
    </row>
    <row r="6" spans="1:3" ht="18.75" x14ac:dyDescent="0.25">
      <c r="A6" s="1">
        <v>170</v>
      </c>
      <c r="B6" s="1">
        <f t="shared" si="0"/>
        <v>15.158145193232713</v>
      </c>
      <c r="C6" s="1">
        <f t="shared" si="1"/>
        <v>17.658145193232713</v>
      </c>
    </row>
    <row r="7" spans="1:3" ht="18.75" x14ac:dyDescent="0.25">
      <c r="A7" s="1">
        <v>175</v>
      </c>
      <c r="B7" s="1">
        <f t="shared" si="0"/>
        <v>20.158145193232713</v>
      </c>
      <c r="C7" s="1">
        <f t="shared" si="1"/>
        <v>22.658145193232713</v>
      </c>
    </row>
    <row r="8" spans="1:3" ht="18.75" x14ac:dyDescent="0.25">
      <c r="A8" s="1">
        <v>180</v>
      </c>
      <c r="B8" s="1">
        <f t="shared" si="0"/>
        <v>25.158145193232713</v>
      </c>
      <c r="C8" s="1">
        <f t="shared" si="1"/>
        <v>27.658145193232713</v>
      </c>
    </row>
    <row r="9" spans="1:3" ht="18.75" x14ac:dyDescent="0.25">
      <c r="A9" s="1">
        <v>185</v>
      </c>
      <c r="B9" s="1">
        <f t="shared" si="0"/>
        <v>30.158145193232713</v>
      </c>
      <c r="C9" s="1">
        <f t="shared" si="1"/>
        <v>32.658145193232713</v>
      </c>
    </row>
    <row r="10" spans="1:3" ht="18.75" x14ac:dyDescent="0.25">
      <c r="A10" s="1">
        <v>190</v>
      </c>
      <c r="B10" s="1">
        <f t="shared" si="0"/>
        <v>35.158145193232713</v>
      </c>
      <c r="C10" s="1">
        <f t="shared" si="1"/>
        <v>37.658145193232713</v>
      </c>
    </row>
    <row r="11" spans="1:3" ht="18.75" x14ac:dyDescent="0.25">
      <c r="A11" s="1">
        <v>195</v>
      </c>
      <c r="B11" s="1">
        <f t="shared" si="0"/>
        <v>40.158145193232713</v>
      </c>
      <c r="C11" s="1">
        <f t="shared" si="1"/>
        <v>42.658145193232713</v>
      </c>
    </row>
    <row r="12" spans="1:3" ht="18.75" x14ac:dyDescent="0.25">
      <c r="A12" s="1">
        <v>200</v>
      </c>
      <c r="B12" s="1">
        <f t="shared" si="0"/>
        <v>45.158145193232713</v>
      </c>
      <c r="C12" s="1">
        <f t="shared" si="1"/>
        <v>47.658145193232713</v>
      </c>
    </row>
    <row r="13" spans="1:3" ht="18.75" x14ac:dyDescent="0.25">
      <c r="A13" s="1">
        <v>205</v>
      </c>
      <c r="B13" s="1">
        <f t="shared" si="0"/>
        <v>50.158145193232713</v>
      </c>
      <c r="C13" s="1">
        <f t="shared" si="1"/>
        <v>52.658145193232713</v>
      </c>
    </row>
    <row r="14" spans="1:3" ht="18.75" x14ac:dyDescent="0.25">
      <c r="A14" s="1">
        <v>210</v>
      </c>
      <c r="B14" s="1">
        <f t="shared" si="0"/>
        <v>55.158145193232713</v>
      </c>
      <c r="C14" s="1">
        <f t="shared" si="1"/>
        <v>57.658145193232713</v>
      </c>
    </row>
    <row r="15" spans="1:3" ht="18.75" x14ac:dyDescent="0.25">
      <c r="A15" s="1">
        <v>215</v>
      </c>
      <c r="B15" s="1">
        <f t="shared" si="0"/>
        <v>60.158145193232713</v>
      </c>
      <c r="C15" s="1">
        <f t="shared" si="1"/>
        <v>62.658145193232713</v>
      </c>
    </row>
    <row r="16" spans="1:3" ht="18.75" x14ac:dyDescent="0.25">
      <c r="A16" s="1">
        <v>220</v>
      </c>
      <c r="B16" s="1">
        <f t="shared" si="0"/>
        <v>65.158145193232713</v>
      </c>
      <c r="C16" s="1">
        <f t="shared" si="1"/>
        <v>67.658145193232713</v>
      </c>
    </row>
    <row r="17" spans="1:3" ht="18.75" x14ac:dyDescent="0.25">
      <c r="A17" s="1">
        <v>225</v>
      </c>
      <c r="B17" s="1">
        <f t="shared" si="0"/>
        <v>70.158145193232713</v>
      </c>
      <c r="C17" s="1">
        <f t="shared" si="1"/>
        <v>72.658145193232713</v>
      </c>
    </row>
    <row r="18" spans="1:3" ht="18.75" x14ac:dyDescent="0.25">
      <c r="A18" s="1">
        <v>230</v>
      </c>
      <c r="B18" s="1">
        <f t="shared" si="0"/>
        <v>75.158145193232713</v>
      </c>
      <c r="C18" s="1">
        <f t="shared" si="1"/>
        <v>77.658145193232713</v>
      </c>
    </row>
    <row r="19" spans="1:3" ht="18.75" x14ac:dyDescent="0.25">
      <c r="A19" s="1">
        <v>235</v>
      </c>
      <c r="B19" s="1">
        <f t="shared" si="0"/>
        <v>80.158145193232713</v>
      </c>
      <c r="C19" s="1">
        <f t="shared" si="1"/>
        <v>82.658145193232713</v>
      </c>
    </row>
    <row r="20" spans="1:3" ht="18.75" x14ac:dyDescent="0.25">
      <c r="A20" s="1">
        <v>240</v>
      </c>
      <c r="B20" s="1">
        <f t="shared" si="0"/>
        <v>85.158145193232713</v>
      </c>
      <c r="C20" s="1">
        <f t="shared" si="1"/>
        <v>87.658145193232713</v>
      </c>
    </row>
    <row r="21" spans="1:3" ht="18.75" x14ac:dyDescent="0.25">
      <c r="A21" s="1">
        <v>245</v>
      </c>
      <c r="B21" s="1">
        <f t="shared" si="0"/>
        <v>90.158145193232713</v>
      </c>
      <c r="C21" s="1">
        <f t="shared" si="1"/>
        <v>92.658145193232713</v>
      </c>
    </row>
    <row r="22" spans="1:3" ht="18.75" x14ac:dyDescent="0.25">
      <c r="A22" s="1">
        <v>250</v>
      </c>
      <c r="B22" s="1">
        <f t="shared" si="0"/>
        <v>95.158145193232713</v>
      </c>
      <c r="C22" s="1">
        <f t="shared" si="1"/>
        <v>97.658145193232713</v>
      </c>
    </row>
    <row r="23" spans="1:3" ht="18.75" x14ac:dyDescent="0.25">
      <c r="A23" s="4"/>
      <c r="B23" s="4"/>
      <c r="C2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Аи-92</vt:lpstr>
      <vt:lpstr>Дизельное топливо</vt:lpstr>
      <vt:lpstr>Керосин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Аннануров</dc:creator>
  <cp:lastModifiedBy>Даниил Аннануров</cp:lastModifiedBy>
  <dcterms:created xsi:type="dcterms:W3CDTF">2022-12-05T15:06:21Z</dcterms:created>
  <dcterms:modified xsi:type="dcterms:W3CDTF">2022-12-07T10:25:47Z</dcterms:modified>
</cp:coreProperties>
</file>