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E3" i="1" l="1"/>
  <c r="G3" i="1" s="1"/>
  <c r="E4" i="1"/>
  <c r="G4" i="1" s="1"/>
  <c r="E5" i="1"/>
  <c r="G5" i="1" s="1"/>
  <c r="E6" i="1"/>
  <c r="H6" i="1" s="1"/>
  <c r="E7" i="1"/>
  <c r="G7" i="1" s="1"/>
  <c r="E8" i="1"/>
  <c r="G8" i="1" s="1"/>
  <c r="E9" i="1"/>
  <c r="H9" i="1" s="1"/>
  <c r="E10" i="1"/>
  <c r="G10" i="1" s="1"/>
  <c r="E11" i="1"/>
  <c r="G11" i="1" s="1"/>
  <c r="E12" i="1"/>
  <c r="G12" i="1" s="1"/>
  <c r="E13" i="1"/>
  <c r="G13" i="1" s="1"/>
  <c r="E2" i="1"/>
  <c r="G2" i="1" s="1"/>
  <c r="H2" i="1" l="1"/>
  <c r="I2" i="1" s="1"/>
  <c r="G6" i="1"/>
  <c r="I6" i="1" s="1"/>
  <c r="H13" i="1"/>
  <c r="I13" i="1" s="1"/>
  <c r="H5" i="1"/>
  <c r="I5" i="1" s="1"/>
  <c r="G9" i="1"/>
  <c r="I9" i="1" s="1"/>
  <c r="H12" i="1"/>
  <c r="I12" i="1" s="1"/>
  <c r="H8" i="1"/>
  <c r="I8" i="1" s="1"/>
  <c r="H4" i="1"/>
  <c r="I4" i="1" s="1"/>
  <c r="H10" i="1"/>
  <c r="I10" i="1" s="1"/>
  <c r="H11" i="1"/>
  <c r="I11" i="1" s="1"/>
  <c r="H7" i="1"/>
  <c r="I7" i="1" s="1"/>
  <c r="H3" i="1"/>
  <c r="I3" i="1" s="1"/>
</calcChain>
</file>

<file path=xl/sharedStrings.xml><?xml version="1.0" encoding="utf-8"?>
<sst xmlns="http://schemas.openxmlformats.org/spreadsheetml/2006/main" count="8" uniqueCount="8">
  <si>
    <t>Ɛ</t>
  </si>
  <si>
    <t>R</t>
  </si>
  <si>
    <t>r</t>
  </si>
  <si>
    <t>I</t>
  </si>
  <si>
    <t>U(I)</t>
  </si>
  <si>
    <t>P(I)</t>
  </si>
  <si>
    <t>Pп(I)</t>
  </si>
  <si>
    <t>Ƞ(I)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</si>
</sst>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777777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зависимостей напряжения, мощности, к.п.д. от тока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U(I)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Лист1!$E$2:$E$13</c:f>
              <c:numCache>
                <c:formatCode>General</c:formatCode>
                <c:ptCount val="12"/>
                <c:pt idx="0">
                  <c:v>0.4</c:v>
                </c:pt>
                <c:pt idx="1">
                  <c:v>0.33333333333333331</c:v>
                </c:pt>
                <c:pt idx="2">
                  <c:v>0.2857142857142857</c:v>
                </c:pt>
                <c:pt idx="3">
                  <c:v>0.25</c:v>
                </c:pt>
                <c:pt idx="4">
                  <c:v>0.22222222222222221</c:v>
                </c:pt>
                <c:pt idx="5">
                  <c:v>0.2</c:v>
                </c:pt>
                <c:pt idx="6">
                  <c:v>0.18181818181818182</c:v>
                </c:pt>
                <c:pt idx="7">
                  <c:v>0.16666666666666666</c:v>
                </c:pt>
                <c:pt idx="8">
                  <c:v>0.15384615384615385</c:v>
                </c:pt>
                <c:pt idx="9">
                  <c:v>0.14285714285714285</c:v>
                </c:pt>
                <c:pt idx="10">
                  <c:v>0.13333333333333333</c:v>
                </c:pt>
                <c:pt idx="11">
                  <c:v>0.125</c:v>
                </c:pt>
              </c:numCache>
            </c:numRef>
          </c:xVal>
          <c:yVal>
            <c:numRef>
              <c:f>Лист1!$F$2:$F$13</c:f>
              <c:numCache>
                <c:formatCode>General</c:formatCode>
                <c:ptCount val="12"/>
                <c:pt idx="0">
                  <c:v>0.4</c:v>
                </c:pt>
                <c:pt idx="1">
                  <c:v>0.66666666666666663</c:v>
                </c:pt>
                <c:pt idx="2">
                  <c:v>0.8571428571428571</c:v>
                </c:pt>
                <c:pt idx="3">
                  <c:v>1</c:v>
                </c:pt>
                <c:pt idx="4">
                  <c:v>1.1111111111111112</c:v>
                </c:pt>
                <c:pt idx="5">
                  <c:v>1.2000000000000002</c:v>
                </c:pt>
                <c:pt idx="6">
                  <c:v>1.2727272727272727</c:v>
                </c:pt>
                <c:pt idx="7">
                  <c:v>1.3333333333333333</c:v>
                </c:pt>
                <c:pt idx="8">
                  <c:v>1.3846153846153846</c:v>
                </c:pt>
                <c:pt idx="9">
                  <c:v>1.4285714285714284</c:v>
                </c:pt>
                <c:pt idx="10">
                  <c:v>1.4666666666666666</c:v>
                </c:pt>
                <c:pt idx="11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5A-46F9-910F-0ED98611541C}"/>
            </c:ext>
          </c:extLst>
        </c:ser>
        <c:ser>
          <c:idx val="1"/>
          <c:order val="1"/>
          <c:tx>
            <c:v>P(I)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Лист1!$E$2:$E$13</c:f>
              <c:numCache>
                <c:formatCode>General</c:formatCode>
                <c:ptCount val="12"/>
                <c:pt idx="0">
                  <c:v>0.4</c:v>
                </c:pt>
                <c:pt idx="1">
                  <c:v>0.33333333333333331</c:v>
                </c:pt>
                <c:pt idx="2">
                  <c:v>0.2857142857142857</c:v>
                </c:pt>
                <c:pt idx="3">
                  <c:v>0.25</c:v>
                </c:pt>
                <c:pt idx="4">
                  <c:v>0.22222222222222221</c:v>
                </c:pt>
                <c:pt idx="5">
                  <c:v>0.2</c:v>
                </c:pt>
                <c:pt idx="6">
                  <c:v>0.18181818181818182</c:v>
                </c:pt>
                <c:pt idx="7">
                  <c:v>0.16666666666666666</c:v>
                </c:pt>
                <c:pt idx="8">
                  <c:v>0.15384615384615385</c:v>
                </c:pt>
                <c:pt idx="9">
                  <c:v>0.14285714285714285</c:v>
                </c:pt>
                <c:pt idx="10">
                  <c:v>0.13333333333333333</c:v>
                </c:pt>
                <c:pt idx="11">
                  <c:v>0.125</c:v>
                </c:pt>
              </c:numCache>
            </c:numRef>
          </c:xVal>
          <c:yVal>
            <c:numRef>
              <c:f>Лист1!$G$2:$G$13</c:f>
              <c:numCache>
                <c:formatCode>General</c:formatCode>
                <c:ptCount val="12"/>
                <c:pt idx="0">
                  <c:v>0.8</c:v>
                </c:pt>
                <c:pt idx="1">
                  <c:v>0.66666666666666663</c:v>
                </c:pt>
                <c:pt idx="2">
                  <c:v>0.5714285714285714</c:v>
                </c:pt>
                <c:pt idx="3">
                  <c:v>0.5</c:v>
                </c:pt>
                <c:pt idx="4">
                  <c:v>0.44444444444444442</c:v>
                </c:pt>
                <c:pt idx="5">
                  <c:v>0.4</c:v>
                </c:pt>
                <c:pt idx="6">
                  <c:v>0.36363636363636365</c:v>
                </c:pt>
                <c:pt idx="7">
                  <c:v>0.33333333333333331</c:v>
                </c:pt>
                <c:pt idx="8">
                  <c:v>0.30769230769230771</c:v>
                </c:pt>
                <c:pt idx="9">
                  <c:v>0.2857142857142857</c:v>
                </c:pt>
                <c:pt idx="10">
                  <c:v>0.26666666666666666</c:v>
                </c:pt>
                <c:pt idx="11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5A-46F9-910F-0ED98611541C}"/>
            </c:ext>
          </c:extLst>
        </c:ser>
        <c:ser>
          <c:idx val="2"/>
          <c:order val="2"/>
          <c:tx>
            <c:v>Pп(I)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Лист1!$E$2:$E$13</c:f>
              <c:numCache>
                <c:formatCode>General</c:formatCode>
                <c:ptCount val="12"/>
                <c:pt idx="0">
                  <c:v>0.4</c:v>
                </c:pt>
                <c:pt idx="1">
                  <c:v>0.33333333333333331</c:v>
                </c:pt>
                <c:pt idx="2">
                  <c:v>0.2857142857142857</c:v>
                </c:pt>
                <c:pt idx="3">
                  <c:v>0.25</c:v>
                </c:pt>
                <c:pt idx="4">
                  <c:v>0.22222222222222221</c:v>
                </c:pt>
                <c:pt idx="5">
                  <c:v>0.2</c:v>
                </c:pt>
                <c:pt idx="6">
                  <c:v>0.18181818181818182</c:v>
                </c:pt>
                <c:pt idx="7">
                  <c:v>0.16666666666666666</c:v>
                </c:pt>
                <c:pt idx="8">
                  <c:v>0.15384615384615385</c:v>
                </c:pt>
                <c:pt idx="9">
                  <c:v>0.14285714285714285</c:v>
                </c:pt>
                <c:pt idx="10">
                  <c:v>0.13333333333333333</c:v>
                </c:pt>
                <c:pt idx="11">
                  <c:v>0.125</c:v>
                </c:pt>
              </c:numCache>
            </c:numRef>
          </c:xVal>
          <c:yVal>
            <c:numRef>
              <c:f>Лист1!$H$2:$H$13</c:f>
              <c:numCache>
                <c:formatCode>General</c:formatCode>
                <c:ptCount val="12"/>
                <c:pt idx="0">
                  <c:v>0.16000000000000003</c:v>
                </c:pt>
                <c:pt idx="1">
                  <c:v>0.22222222222222221</c:v>
                </c:pt>
                <c:pt idx="2">
                  <c:v>0.24489795918367344</c:v>
                </c:pt>
                <c:pt idx="3">
                  <c:v>0.25</c:v>
                </c:pt>
                <c:pt idx="4">
                  <c:v>0.24691358024691357</c:v>
                </c:pt>
                <c:pt idx="5">
                  <c:v>0.24000000000000005</c:v>
                </c:pt>
                <c:pt idx="6">
                  <c:v>0.23140495867768596</c:v>
                </c:pt>
                <c:pt idx="7">
                  <c:v>0.22222222222222221</c:v>
                </c:pt>
                <c:pt idx="8">
                  <c:v>0.21301775147928995</c:v>
                </c:pt>
                <c:pt idx="9">
                  <c:v>0.20408163265306117</c:v>
                </c:pt>
                <c:pt idx="10">
                  <c:v>0.19555555555555554</c:v>
                </c:pt>
                <c:pt idx="11">
                  <c:v>0.1875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5A-46F9-910F-0ED98611541C}"/>
            </c:ext>
          </c:extLst>
        </c:ser>
        <c:ser>
          <c:idx val="3"/>
          <c:order val="3"/>
          <c:tx>
            <c:strRef>
              <c:f>Лист1!$I$1</c:f>
              <c:strCache>
                <c:ptCount val="1"/>
                <c:pt idx="0">
                  <c:v>Ƞ(I)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Лист1!$E$2:$E$13</c:f>
              <c:numCache>
                <c:formatCode>General</c:formatCode>
                <c:ptCount val="12"/>
                <c:pt idx="0">
                  <c:v>0.4</c:v>
                </c:pt>
                <c:pt idx="1">
                  <c:v>0.33333333333333331</c:v>
                </c:pt>
                <c:pt idx="2">
                  <c:v>0.2857142857142857</c:v>
                </c:pt>
                <c:pt idx="3">
                  <c:v>0.25</c:v>
                </c:pt>
                <c:pt idx="4">
                  <c:v>0.22222222222222221</c:v>
                </c:pt>
                <c:pt idx="5">
                  <c:v>0.2</c:v>
                </c:pt>
                <c:pt idx="6">
                  <c:v>0.18181818181818182</c:v>
                </c:pt>
                <c:pt idx="7">
                  <c:v>0.16666666666666666</c:v>
                </c:pt>
                <c:pt idx="8">
                  <c:v>0.15384615384615385</c:v>
                </c:pt>
                <c:pt idx="9">
                  <c:v>0.14285714285714285</c:v>
                </c:pt>
                <c:pt idx="10">
                  <c:v>0.13333333333333333</c:v>
                </c:pt>
                <c:pt idx="11">
                  <c:v>0.125</c:v>
                </c:pt>
              </c:numCache>
            </c:numRef>
          </c:xVal>
          <c:yVal>
            <c:numRef>
              <c:f>Лист1!$I$2:$I$13</c:f>
              <c:numCache>
                <c:formatCode>General</c:formatCode>
                <c:ptCount val="12"/>
                <c:pt idx="0">
                  <c:v>0.20000000000000004</c:v>
                </c:pt>
                <c:pt idx="1">
                  <c:v>0.33333333333333331</c:v>
                </c:pt>
                <c:pt idx="2">
                  <c:v>0.42857142857142855</c:v>
                </c:pt>
                <c:pt idx="3">
                  <c:v>0.5</c:v>
                </c:pt>
                <c:pt idx="4">
                  <c:v>0.55555555555555558</c:v>
                </c:pt>
                <c:pt idx="5">
                  <c:v>0.60000000000000009</c:v>
                </c:pt>
                <c:pt idx="6">
                  <c:v>0.63636363636363635</c:v>
                </c:pt>
                <c:pt idx="7">
                  <c:v>0.66666666666666663</c:v>
                </c:pt>
                <c:pt idx="8">
                  <c:v>0.69230769230769229</c:v>
                </c:pt>
                <c:pt idx="9">
                  <c:v>0.71428571428571419</c:v>
                </c:pt>
                <c:pt idx="10">
                  <c:v>0.73333333333333328</c:v>
                </c:pt>
                <c:pt idx="11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5A-46F9-910F-0ED98611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51472"/>
        <c:axId val="465553440"/>
      </c:scatterChart>
      <c:valAx>
        <c:axId val="46555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6777302492390904"/>
              <c:y val="0.82407347369658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553440"/>
        <c:crosses val="autoZero"/>
        <c:crossBetween val="midCat"/>
      </c:valAx>
      <c:valAx>
        <c:axId val="4655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55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0</xdr:row>
      <xdr:rowOff>185736</xdr:rowOff>
    </xdr:from>
    <xdr:to>
      <xdr:col>19</xdr:col>
      <xdr:colOff>609599</xdr:colOff>
      <xdr:row>19</xdr:row>
      <xdr:rowOff>190499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145" zoomScaleNormal="145" workbookViewId="0">
      <selection activeCell="F2" sqref="F2:F13"/>
    </sheetView>
  </sheetViews>
  <sheetFormatPr defaultRowHeight="15" x14ac:dyDescent="0.25"/>
  <sheetData>
    <row r="1" spans="1:9" x14ac:dyDescent="0.25">
      <c r="A1" s="2" t="s">
        <v>0</v>
      </c>
      <c r="B1" s="3" t="s">
        <v>1</v>
      </c>
      <c r="C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1">
        <v>2</v>
      </c>
      <c r="B2" s="1">
        <v>1</v>
      </c>
      <c r="C2" s="1">
        <v>4</v>
      </c>
      <c r="E2" s="5">
        <f>$A$2/($B2+$C$2)</f>
        <v>0.4</v>
      </c>
      <c r="F2" s="5">
        <f>E2*$B2</f>
        <v>0.4</v>
      </c>
      <c r="G2" s="5">
        <f>$A$2*$E2</f>
        <v>0.8</v>
      </c>
      <c r="H2" s="5">
        <f>$F2*$E2</f>
        <v>0.16000000000000003</v>
      </c>
      <c r="I2" s="5">
        <f>$H2/$G2</f>
        <v>0.20000000000000004</v>
      </c>
    </row>
    <row r="3" spans="1:9" x14ac:dyDescent="0.25">
      <c r="A3" s="1"/>
      <c r="B3" s="1">
        <v>2</v>
      </c>
      <c r="C3" s="1"/>
      <c r="E3" s="5">
        <f t="shared" ref="E3:E13" si="0">$A$2/($B3+$C$2)</f>
        <v>0.33333333333333331</v>
      </c>
      <c r="F3" s="5">
        <f t="shared" ref="F3:F13" si="1">E3*$B3</f>
        <v>0.66666666666666663</v>
      </c>
      <c r="G3" s="5">
        <f t="shared" ref="G3:G13" si="2">$A$2*$E3</f>
        <v>0.66666666666666663</v>
      </c>
      <c r="H3" s="5">
        <f t="shared" ref="H3:H13" si="3">$F3*$E3</f>
        <v>0.22222222222222221</v>
      </c>
      <c r="I3" s="5">
        <f t="shared" ref="I3:I13" si="4">$H3/$G3</f>
        <v>0.33333333333333331</v>
      </c>
    </row>
    <row r="4" spans="1:9" x14ac:dyDescent="0.25">
      <c r="A4" s="1"/>
      <c r="B4" s="1">
        <v>3</v>
      </c>
      <c r="C4" s="1"/>
      <c r="E4" s="5">
        <f t="shared" si="0"/>
        <v>0.2857142857142857</v>
      </c>
      <c r="F4" s="5">
        <f t="shared" si="1"/>
        <v>0.8571428571428571</v>
      </c>
      <c r="G4" s="5">
        <f t="shared" si="2"/>
        <v>0.5714285714285714</v>
      </c>
      <c r="H4" s="5">
        <f t="shared" si="3"/>
        <v>0.24489795918367344</v>
      </c>
      <c r="I4" s="5">
        <f t="shared" si="4"/>
        <v>0.42857142857142855</v>
      </c>
    </row>
    <row r="5" spans="1:9" x14ac:dyDescent="0.25">
      <c r="A5" s="1"/>
      <c r="B5" s="1">
        <v>4</v>
      </c>
      <c r="C5" s="1"/>
      <c r="E5" s="5">
        <f t="shared" si="0"/>
        <v>0.25</v>
      </c>
      <c r="F5" s="5">
        <f t="shared" si="1"/>
        <v>1</v>
      </c>
      <c r="G5" s="5">
        <f t="shared" si="2"/>
        <v>0.5</v>
      </c>
      <c r="H5" s="5">
        <f t="shared" si="3"/>
        <v>0.25</v>
      </c>
      <c r="I5" s="5">
        <f t="shared" si="4"/>
        <v>0.5</v>
      </c>
    </row>
    <row r="6" spans="1:9" x14ac:dyDescent="0.25">
      <c r="A6" s="1"/>
      <c r="B6" s="1">
        <v>5</v>
      </c>
      <c r="C6" s="1"/>
      <c r="E6" s="5">
        <f t="shared" si="0"/>
        <v>0.22222222222222221</v>
      </c>
      <c r="F6" s="5">
        <f t="shared" si="1"/>
        <v>1.1111111111111112</v>
      </c>
      <c r="G6" s="5">
        <f t="shared" si="2"/>
        <v>0.44444444444444442</v>
      </c>
      <c r="H6" s="5">
        <f t="shared" si="3"/>
        <v>0.24691358024691357</v>
      </c>
      <c r="I6" s="5">
        <f t="shared" si="4"/>
        <v>0.55555555555555558</v>
      </c>
    </row>
    <row r="7" spans="1:9" x14ac:dyDescent="0.25">
      <c r="A7" s="1"/>
      <c r="B7" s="1">
        <v>6</v>
      </c>
      <c r="C7" s="1"/>
      <c r="E7" s="5">
        <f t="shared" si="0"/>
        <v>0.2</v>
      </c>
      <c r="F7" s="5">
        <f t="shared" si="1"/>
        <v>1.2000000000000002</v>
      </c>
      <c r="G7" s="5">
        <f t="shared" si="2"/>
        <v>0.4</v>
      </c>
      <c r="H7" s="5">
        <f t="shared" si="3"/>
        <v>0.24000000000000005</v>
      </c>
      <c r="I7" s="5">
        <f t="shared" si="4"/>
        <v>0.60000000000000009</v>
      </c>
    </row>
    <row r="8" spans="1:9" x14ac:dyDescent="0.25">
      <c r="A8" s="1"/>
      <c r="B8" s="1">
        <v>7</v>
      </c>
      <c r="C8" s="1"/>
      <c r="E8" s="5">
        <f t="shared" si="0"/>
        <v>0.18181818181818182</v>
      </c>
      <c r="F8" s="5">
        <f t="shared" si="1"/>
        <v>1.2727272727272727</v>
      </c>
      <c r="G8" s="5">
        <f t="shared" si="2"/>
        <v>0.36363636363636365</v>
      </c>
      <c r="H8" s="5">
        <f t="shared" si="3"/>
        <v>0.23140495867768596</v>
      </c>
      <c r="I8" s="5">
        <f t="shared" si="4"/>
        <v>0.63636363636363635</v>
      </c>
    </row>
    <row r="9" spans="1:9" x14ac:dyDescent="0.25">
      <c r="A9" s="1"/>
      <c r="B9" s="1">
        <v>8</v>
      </c>
      <c r="C9" s="1"/>
      <c r="E9" s="5">
        <f t="shared" si="0"/>
        <v>0.16666666666666666</v>
      </c>
      <c r="F9" s="5">
        <f t="shared" si="1"/>
        <v>1.3333333333333333</v>
      </c>
      <c r="G9" s="5">
        <f t="shared" si="2"/>
        <v>0.33333333333333331</v>
      </c>
      <c r="H9" s="5">
        <f t="shared" si="3"/>
        <v>0.22222222222222221</v>
      </c>
      <c r="I9" s="5">
        <f t="shared" si="4"/>
        <v>0.66666666666666663</v>
      </c>
    </row>
    <row r="10" spans="1:9" x14ac:dyDescent="0.25">
      <c r="A10" s="1"/>
      <c r="B10" s="1">
        <v>9</v>
      </c>
      <c r="C10" s="1"/>
      <c r="E10" s="5">
        <f t="shared" si="0"/>
        <v>0.15384615384615385</v>
      </c>
      <c r="F10" s="5">
        <f t="shared" si="1"/>
        <v>1.3846153846153846</v>
      </c>
      <c r="G10" s="5">
        <f t="shared" si="2"/>
        <v>0.30769230769230771</v>
      </c>
      <c r="H10" s="5">
        <f t="shared" si="3"/>
        <v>0.21301775147928995</v>
      </c>
      <c r="I10" s="5">
        <f t="shared" si="4"/>
        <v>0.69230769230769229</v>
      </c>
    </row>
    <row r="11" spans="1:9" x14ac:dyDescent="0.25">
      <c r="A11" s="1"/>
      <c r="B11" s="1">
        <v>10</v>
      </c>
      <c r="C11" s="1"/>
      <c r="E11" s="5">
        <f t="shared" si="0"/>
        <v>0.14285714285714285</v>
      </c>
      <c r="F11" s="5">
        <f t="shared" si="1"/>
        <v>1.4285714285714284</v>
      </c>
      <c r="G11" s="5">
        <f t="shared" si="2"/>
        <v>0.2857142857142857</v>
      </c>
      <c r="H11" s="5">
        <f t="shared" si="3"/>
        <v>0.20408163265306117</v>
      </c>
      <c r="I11" s="5">
        <f t="shared" si="4"/>
        <v>0.71428571428571419</v>
      </c>
    </row>
    <row r="12" spans="1:9" x14ac:dyDescent="0.25">
      <c r="A12" s="1"/>
      <c r="B12" s="1">
        <v>11</v>
      </c>
      <c r="C12" s="1"/>
      <c r="E12" s="5">
        <f t="shared" si="0"/>
        <v>0.13333333333333333</v>
      </c>
      <c r="F12" s="5">
        <f t="shared" si="1"/>
        <v>1.4666666666666666</v>
      </c>
      <c r="G12" s="5">
        <f t="shared" si="2"/>
        <v>0.26666666666666666</v>
      </c>
      <c r="H12" s="5">
        <f t="shared" si="3"/>
        <v>0.19555555555555554</v>
      </c>
      <c r="I12" s="5">
        <f t="shared" si="4"/>
        <v>0.73333333333333328</v>
      </c>
    </row>
    <row r="13" spans="1:9" x14ac:dyDescent="0.25">
      <c r="A13" s="1"/>
      <c r="B13" s="1">
        <v>12</v>
      </c>
      <c r="C13" s="1"/>
      <c r="E13" s="5">
        <f t="shared" si="0"/>
        <v>0.125</v>
      </c>
      <c r="F13" s="5">
        <f t="shared" si="1"/>
        <v>1.5</v>
      </c>
      <c r="G13" s="5">
        <f t="shared" si="2"/>
        <v>0.25</v>
      </c>
      <c r="H13" s="5">
        <f t="shared" si="3"/>
        <v>0.1875</v>
      </c>
      <c r="I13" s="5">
        <f t="shared" si="4"/>
        <v>0.75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2022-12-20T20:31:52Z</dcterms:modified>
</cp:coreProperties>
</file>