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an\OneDrive\Рабочий стол\"/>
    </mc:Choice>
  </mc:AlternateContent>
  <bookViews>
    <workbookView xWindow="0" yWindow="0" windowWidth="28800" windowHeight="11865" activeTab="2"/>
  </bookViews>
  <sheets>
    <sheet name="q(t)" sheetId="1" r:id="rId1"/>
    <sheet name="I(t)" sheetId="2" r:id="rId2"/>
    <sheet name="U(t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B6" i="2" l="1"/>
  <c r="B5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5" i="3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5" i="1"/>
</calcChain>
</file>

<file path=xl/sharedStrings.xml><?xml version="1.0" encoding="utf-8"?>
<sst xmlns="http://schemas.openxmlformats.org/spreadsheetml/2006/main" count="19" uniqueCount="9">
  <si>
    <t>Qo</t>
  </si>
  <si>
    <t>Wo</t>
  </si>
  <si>
    <t>C</t>
  </si>
  <si>
    <t>a</t>
  </si>
  <si>
    <t>Ɛ</t>
  </si>
  <si>
    <t>t</t>
  </si>
  <si>
    <t>q(t)</t>
  </si>
  <si>
    <t>I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</si>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</sst>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1111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0" xfId="1" applyFont="1"/>
    <xf numFmtId="0" fontId="2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</a:t>
            </a:r>
            <a:r>
              <a:rPr lang="en-US" baseline="0"/>
              <a:t>q(t)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0220733046667039E-2"/>
          <c:y val="0.10302777777777777"/>
          <c:w val="0.90035137097224549"/>
          <c:h val="0.8510555555555555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'q(t)'!$A$5:$A$30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'q(t)'!$B$5:$B$30</c:f>
              <c:numCache>
                <c:formatCode>General</c:formatCode>
                <c:ptCount val="26"/>
                <c:pt idx="0">
                  <c:v>0</c:v>
                </c:pt>
                <c:pt idx="1">
                  <c:v>9.9557430201194924E-4</c:v>
                </c:pt>
                <c:pt idx="2">
                  <c:v>1.999960826394637E-3</c:v>
                </c:pt>
                <c:pt idx="3">
                  <c:v>1.0132767472230595E-3</c:v>
                </c:pt>
                <c:pt idx="4">
                  <c:v>1.5669135230877984E-7</c:v>
                </c:pt>
                <c:pt idx="5">
                  <c:v>9.7787324373804427E-4</c:v>
                </c:pt>
                <c:pt idx="6">
                  <c:v>1.99964745596635E-3</c:v>
                </c:pt>
                <c:pt idx="7">
                  <c:v>1.0309750317312166E-3</c:v>
                </c:pt>
                <c:pt idx="8">
                  <c:v>6.2671630487531879E-7</c:v>
                </c:pt>
                <c:pt idx="9">
                  <c:v>9.6017911960686111E-4</c:v>
                </c:pt>
                <c:pt idx="10">
                  <c:v>1.9990208133146481E-3</c:v>
                </c:pt>
                <c:pt idx="11">
                  <c:v>1.0486636092001539E-3</c:v>
                </c:pt>
                <c:pt idx="12">
                  <c:v>1.4099275600087946E-6</c:v>
                </c:pt>
                <c:pt idx="13">
                  <c:v>9.4249747465087572E-4</c:v>
                </c:pt>
                <c:pt idx="14">
                  <c:v>1.9980810948185003E-3</c:v>
                </c:pt>
                <c:pt idx="15">
                  <c:v>1.0663369363356236E-3</c:v>
                </c:pt>
                <c:pt idx="16">
                  <c:v>2.506079672847772E-6</c:v>
                </c:pt>
                <c:pt idx="17">
                  <c:v>9.2483384999180677E-4</c:v>
                </c:pt>
                <c:pt idx="18">
                  <c:v>1.9968285949694309E-3</c:v>
                </c:pt>
                <c:pt idx="19">
                  <c:v>1.0839894746225687E-3</c:v>
                </c:pt>
                <c:pt idx="20">
                  <c:v>3.9148291282784519E-6</c:v>
                </c:pt>
                <c:pt idx="21">
                  <c:v>9.0719378110412294E-4</c:v>
                </c:pt>
                <c:pt idx="22">
                  <c:v>1.9952637062792293E-3</c:v>
                </c:pt>
                <c:pt idx="23">
                  <c:v>1.1016156920607969E-3</c:v>
                </c:pt>
                <c:pt idx="24">
                  <c:v>5.6357344485863379E-6</c:v>
                </c:pt>
                <c:pt idx="25">
                  <c:v>8.8958279608032209E-4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5C-4656-9160-DD2EB8203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676128"/>
        <c:axId val="480670224"/>
      </c:scatterChart>
      <c:valAx>
        <c:axId val="48067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</a:t>
                </a:r>
                <a:endParaRPr lang="ru-RU" sz="1600"/>
              </a:p>
            </c:rich>
          </c:tx>
          <c:layout>
            <c:manualLayout>
              <c:xMode val="edge"/>
              <c:yMode val="edge"/>
              <c:x val="0.93925866265370939"/>
              <c:y val="0.937416666666666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670224"/>
        <c:crosses val="autoZero"/>
        <c:crossBetween val="midCat"/>
      </c:valAx>
      <c:valAx>
        <c:axId val="48067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q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5.2524948513333544E-2"/>
              <c:y val="2.827077865266841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67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/>
              <a:t>График зависимости </a:t>
            </a:r>
            <a:r>
              <a:rPr lang="en-US" baseline="0"/>
              <a:t>I </a:t>
            </a:r>
            <a:r>
              <a:rPr lang="ru-RU" baseline="0"/>
              <a:t>от </a:t>
            </a:r>
            <a:r>
              <a:rPr lang="en-US" baseline="0"/>
              <a:t>t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'I(t)'!$A$5:$A$30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'I(t)'!$B$5:$B$30</c:f>
              <c:numCache>
                <c:formatCode>General</c:formatCode>
                <c:ptCount val="26"/>
                <c:pt idx="0">
                  <c:v>0</c:v>
                </c:pt>
                <c:pt idx="1">
                  <c:v>1.0999892272057738E-2</c:v>
                </c:pt>
                <c:pt idx="2">
                  <c:v>9.7364402194442638E-5</c:v>
                </c:pt>
                <c:pt idx="3">
                  <c:v>-1.0999030461179938E-2</c:v>
                </c:pt>
                <c:pt idx="4">
                  <c:v>-1.9472117615954934E-4</c:v>
                </c:pt>
                <c:pt idx="5">
                  <c:v>1.0997306906944818E-2</c:v>
                </c:pt>
                <c:pt idx="6">
                  <c:v>2.920626942636347E-4</c:v>
                </c:pt>
                <c:pt idx="7">
                  <c:v>-1.0994721744388043E-2</c:v>
                </c:pt>
                <c:pt idx="8">
                  <c:v>-3.8938133007026745E-4</c:v>
                </c:pt>
                <c:pt idx="9">
                  <c:v>1.099127517604989E-2</c:v>
                </c:pt>
                <c:pt idx="10">
                  <c:v>4.8666945893578056E-4</c:v>
                </c:pt>
                <c:pt idx="11">
                  <c:v>-1.0986967471959375E-2</c:v>
                </c:pt>
                <c:pt idx="12">
                  <c:v>-5.8391945860664064E-4</c:v>
                </c:pt>
                <c:pt idx="13">
                  <c:v>1.0981798969613096E-2</c:v>
                </c:pt>
                <c:pt idx="14">
                  <c:v>6.8112370981663034E-4</c:v>
                </c:pt>
                <c:pt idx="15">
                  <c:v>-1.0975770073948798E-2</c:v>
                </c:pt>
                <c:pt idx="16">
                  <c:v>-7.7827459688379686E-4</c:v>
                </c:pt>
                <c:pt idx="17">
                  <c:v>1.0968881257313639E-2</c:v>
                </c:pt>
                <c:pt idx="18">
                  <c:v>8.7536450830711873E-4</c:v>
                </c:pt>
                <c:pt idx="19">
                  <c:v>-1.0961133059427187E-2</c:v>
                </c:pt>
                <c:pt idx="20">
                  <c:v>-9.7238583736284636E-4</c:v>
                </c:pt>
                <c:pt idx="21">
                  <c:v>1.0952526087339135E-2</c:v>
                </c:pt>
                <c:pt idx="22">
                  <c:v>1.0693309827004675E-3</c:v>
                </c:pt>
                <c:pt idx="23">
                  <c:v>-1.094306101538174E-2</c:v>
                </c:pt>
                <c:pt idx="24">
                  <c:v>-1.1661923489382515E-3</c:v>
                </c:pt>
                <c:pt idx="25">
                  <c:v>1.0932738585116987E-2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96-4B6F-9377-38F730B1F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443112"/>
        <c:axId val="474447376"/>
      </c:scatterChart>
      <c:valAx>
        <c:axId val="474443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6816001448094846"/>
              <c:y val="0.416162601626016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4447376"/>
        <c:crosses val="autoZero"/>
        <c:crossBetween val="midCat"/>
      </c:valAx>
      <c:valAx>
        <c:axId val="47444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I</a:t>
                </a:r>
                <a:endParaRPr lang="ru-RU" sz="1600"/>
              </a:p>
            </c:rich>
          </c:tx>
          <c:layout>
            <c:manualLayout>
              <c:xMode val="edge"/>
              <c:yMode val="edge"/>
              <c:x val="1.5992003998000999E-2"/>
              <c:y val="0.10578861788617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4443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</a:t>
            </a:r>
            <a:r>
              <a:rPr lang="en-US"/>
              <a:t>U</a:t>
            </a:r>
            <a:r>
              <a:rPr lang="en-US" baseline="0"/>
              <a:t> </a:t>
            </a:r>
            <a:r>
              <a:rPr lang="ru-RU" baseline="0"/>
              <a:t>от </a:t>
            </a:r>
            <a:r>
              <a:rPr lang="en-US" baseline="0"/>
              <a:t>t</a:t>
            </a:r>
            <a:endParaRPr lang="ru-RU"/>
          </a:p>
        </c:rich>
      </c:tx>
      <c:layout>
        <c:manualLayout>
          <c:xMode val="edge"/>
          <c:yMode val="edge"/>
          <c:x val="0.32890266841644794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'U(t)'!$A$5:$A$30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'U(t)'!$B$5:$B$30</c:f>
              <c:numCache>
                <c:formatCode>General</c:formatCode>
                <c:ptCount val="26"/>
                <c:pt idx="0">
                  <c:v>0</c:v>
                </c:pt>
                <c:pt idx="1">
                  <c:v>99.557430201194919</c:v>
                </c:pt>
                <c:pt idx="2">
                  <c:v>199.99608263946371</c:v>
                </c:pt>
                <c:pt idx="3">
                  <c:v>101.32767472230594</c:v>
                </c:pt>
                <c:pt idx="4">
                  <c:v>1.5669135230877984E-2</c:v>
                </c:pt>
                <c:pt idx="5">
                  <c:v>97.787324373804424</c:v>
                </c:pt>
                <c:pt idx="6">
                  <c:v>199.964745596635</c:v>
                </c:pt>
                <c:pt idx="7">
                  <c:v>103.09750317312165</c:v>
                </c:pt>
                <c:pt idx="8">
                  <c:v>6.2671630487531882E-2</c:v>
                </c:pt>
                <c:pt idx="9">
                  <c:v>96.017911960686106</c:v>
                </c:pt>
                <c:pt idx="10">
                  <c:v>199.90208133146479</c:v>
                </c:pt>
                <c:pt idx="11">
                  <c:v>104.86636092001538</c:v>
                </c:pt>
                <c:pt idx="12">
                  <c:v>0.14099275600087946</c:v>
                </c:pt>
                <c:pt idx="13">
                  <c:v>94.24974746508758</c:v>
                </c:pt>
                <c:pt idx="14">
                  <c:v>199.80810948185001</c:v>
                </c:pt>
                <c:pt idx="15">
                  <c:v>106.63369363356236</c:v>
                </c:pt>
                <c:pt idx="16">
                  <c:v>0.25060796728477719</c:v>
                </c:pt>
                <c:pt idx="17">
                  <c:v>92.483384999180672</c:v>
                </c:pt>
                <c:pt idx="18">
                  <c:v>199.68285949694305</c:v>
                </c:pt>
                <c:pt idx="19">
                  <c:v>108.39894746225687</c:v>
                </c:pt>
                <c:pt idx="20">
                  <c:v>0.3914829128278452</c:v>
                </c:pt>
                <c:pt idx="21">
                  <c:v>90.719378110412293</c:v>
                </c:pt>
                <c:pt idx="22">
                  <c:v>199.52637062792294</c:v>
                </c:pt>
                <c:pt idx="23">
                  <c:v>110.16156920607969</c:v>
                </c:pt>
                <c:pt idx="24">
                  <c:v>0.56357344485863381</c:v>
                </c:pt>
                <c:pt idx="25">
                  <c:v>88.958279608032214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97-48F1-A32B-BAA7F089E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062608"/>
        <c:axId val="475061296"/>
      </c:scatterChart>
      <c:valAx>
        <c:axId val="47506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</a:t>
                </a:r>
                <a:endParaRPr lang="ru-RU" sz="1600"/>
              </a:p>
            </c:rich>
          </c:tx>
          <c:layout>
            <c:manualLayout>
              <c:xMode val="edge"/>
              <c:yMode val="edge"/>
              <c:x val="0.94883287606046407"/>
              <c:y val="0.891217391304347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5061296"/>
        <c:crosses val="autoZero"/>
        <c:crossBetween val="midCat"/>
      </c:valAx>
      <c:valAx>
        <c:axId val="47506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U</a:t>
                </a:r>
                <a:endParaRPr lang="ru-RU" sz="1600"/>
              </a:p>
            </c:rich>
          </c:tx>
          <c:layout>
            <c:manualLayout>
              <c:xMode val="edge"/>
              <c:yMode val="edge"/>
              <c:x val="9.442870632672332E-3"/>
              <c:y val="9.73285404541823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506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3</xdr:row>
      <xdr:rowOff>0</xdr:rowOff>
    </xdr:from>
    <xdr:to>
      <xdr:col>13</xdr:col>
      <xdr:colOff>609599</xdr:colOff>
      <xdr:row>27</xdr:row>
      <xdr:rowOff>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2</xdr:row>
      <xdr:rowOff>180974</xdr:rowOff>
    </xdr:from>
    <xdr:to>
      <xdr:col>13</xdr:col>
      <xdr:colOff>581025</xdr:colOff>
      <xdr:row>26</xdr:row>
      <xdr:rowOff>190499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3</xdr:row>
      <xdr:rowOff>0</xdr:rowOff>
    </xdr:from>
    <xdr:to>
      <xdr:col>14</xdr:col>
      <xdr:colOff>9525</xdr:colOff>
      <xdr:row>26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Normal="100" workbookViewId="0">
      <selection activeCell="B5" sqref="B5"/>
    </sheetView>
  </sheetViews>
  <sheetFormatPr defaultRowHeight="15" x14ac:dyDescent="0.25"/>
  <cols>
    <col min="1" max="1" width="9.140625" style="9"/>
    <col min="2" max="2" width="13.140625" style="9" customWidth="1"/>
    <col min="3" max="4" width="9.140625" style="9"/>
    <col min="5" max="5" width="14.5703125" style="9" bestFit="1" customWidth="1"/>
    <col min="6" max="16384" width="9.140625" style="9"/>
  </cols>
  <sheetData>
    <row r="1" spans="1:8" x14ac:dyDescent="0.2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H1" s="10"/>
    </row>
    <row r="2" spans="1:8" x14ac:dyDescent="0.25">
      <c r="A2" s="14">
        <f>C2*E2</f>
        <v>1E-3</v>
      </c>
      <c r="B2" s="11">
        <v>11</v>
      </c>
      <c r="C2" s="11">
        <v>1.0000000000000001E-5</v>
      </c>
      <c r="D2" s="11">
        <v>0</v>
      </c>
      <c r="E2" s="13">
        <v>100</v>
      </c>
    </row>
    <row r="3" spans="1:8" x14ac:dyDescent="0.25">
      <c r="E3" s="12"/>
    </row>
    <row r="4" spans="1:8" x14ac:dyDescent="0.25">
      <c r="A4" s="7" t="s">
        <v>5</v>
      </c>
      <c r="B4" s="7" t="s">
        <v>6</v>
      </c>
    </row>
    <row r="5" spans="1:8" x14ac:dyDescent="0.25">
      <c r="A5" s="11">
        <v>0</v>
      </c>
      <c r="B5" s="11">
        <f>$C$2*$E$2*(1-COS($B$2*A5))</f>
        <v>0</v>
      </c>
    </row>
    <row r="6" spans="1:8" x14ac:dyDescent="0.25">
      <c r="A6" s="11">
        <v>1</v>
      </c>
      <c r="B6" s="11">
        <f t="shared" ref="B6:B30" si="0">$C$2*$E$2*(1-COS($B$2*A6))</f>
        <v>9.9557430201194924E-4</v>
      </c>
    </row>
    <row r="7" spans="1:8" x14ac:dyDescent="0.25">
      <c r="A7" s="11">
        <v>2</v>
      </c>
      <c r="B7" s="11">
        <f t="shared" si="0"/>
        <v>1.999960826394637E-3</v>
      </c>
    </row>
    <row r="8" spans="1:8" x14ac:dyDescent="0.25">
      <c r="A8" s="11">
        <v>3</v>
      </c>
      <c r="B8" s="11">
        <f t="shared" si="0"/>
        <v>1.0132767472230595E-3</v>
      </c>
    </row>
    <row r="9" spans="1:8" x14ac:dyDescent="0.25">
      <c r="A9" s="11">
        <v>4</v>
      </c>
      <c r="B9" s="11">
        <f t="shared" si="0"/>
        <v>1.5669135230877984E-7</v>
      </c>
    </row>
    <row r="10" spans="1:8" x14ac:dyDescent="0.25">
      <c r="A10" s="11">
        <v>5</v>
      </c>
      <c r="B10" s="11">
        <f t="shared" si="0"/>
        <v>9.7787324373804427E-4</v>
      </c>
    </row>
    <row r="11" spans="1:8" x14ac:dyDescent="0.25">
      <c r="A11" s="11">
        <v>6</v>
      </c>
      <c r="B11" s="11">
        <f t="shared" si="0"/>
        <v>1.99964745596635E-3</v>
      </c>
    </row>
    <row r="12" spans="1:8" x14ac:dyDescent="0.25">
      <c r="A12" s="11">
        <v>7</v>
      </c>
      <c r="B12" s="11">
        <f t="shared" si="0"/>
        <v>1.0309750317312166E-3</v>
      </c>
    </row>
    <row r="13" spans="1:8" x14ac:dyDescent="0.25">
      <c r="A13" s="11">
        <v>8</v>
      </c>
      <c r="B13" s="11">
        <f t="shared" si="0"/>
        <v>6.2671630487531879E-7</v>
      </c>
    </row>
    <row r="14" spans="1:8" x14ac:dyDescent="0.25">
      <c r="A14" s="11">
        <v>9</v>
      </c>
      <c r="B14" s="11">
        <f t="shared" si="0"/>
        <v>9.6017911960686111E-4</v>
      </c>
    </row>
    <row r="15" spans="1:8" x14ac:dyDescent="0.25">
      <c r="A15" s="11">
        <v>10</v>
      </c>
      <c r="B15" s="11">
        <f t="shared" si="0"/>
        <v>1.9990208133146481E-3</v>
      </c>
    </row>
    <row r="16" spans="1:8" x14ac:dyDescent="0.25">
      <c r="A16" s="11">
        <v>11</v>
      </c>
      <c r="B16" s="11">
        <f t="shared" si="0"/>
        <v>1.0486636092001539E-3</v>
      </c>
    </row>
    <row r="17" spans="1:2" x14ac:dyDescent="0.25">
      <c r="A17" s="11">
        <v>12</v>
      </c>
      <c r="B17" s="11">
        <f t="shared" si="0"/>
        <v>1.4099275600087946E-6</v>
      </c>
    </row>
    <row r="18" spans="1:2" x14ac:dyDescent="0.25">
      <c r="A18" s="11">
        <v>13</v>
      </c>
      <c r="B18" s="11">
        <f t="shared" si="0"/>
        <v>9.4249747465087572E-4</v>
      </c>
    </row>
    <row r="19" spans="1:2" x14ac:dyDescent="0.25">
      <c r="A19" s="11">
        <v>14</v>
      </c>
      <c r="B19" s="11">
        <f t="shared" si="0"/>
        <v>1.9980810948185003E-3</v>
      </c>
    </row>
    <row r="20" spans="1:2" x14ac:dyDescent="0.25">
      <c r="A20" s="11">
        <v>15</v>
      </c>
      <c r="B20" s="11">
        <f t="shared" si="0"/>
        <v>1.0663369363356236E-3</v>
      </c>
    </row>
    <row r="21" spans="1:2" x14ac:dyDescent="0.25">
      <c r="A21" s="11">
        <v>16</v>
      </c>
      <c r="B21" s="11">
        <f t="shared" si="0"/>
        <v>2.506079672847772E-6</v>
      </c>
    </row>
    <row r="22" spans="1:2" x14ac:dyDescent="0.25">
      <c r="A22" s="11">
        <v>17</v>
      </c>
      <c r="B22" s="11">
        <f t="shared" si="0"/>
        <v>9.2483384999180677E-4</v>
      </c>
    </row>
    <row r="23" spans="1:2" x14ac:dyDescent="0.25">
      <c r="A23" s="11">
        <v>18</v>
      </c>
      <c r="B23" s="11">
        <f t="shared" si="0"/>
        <v>1.9968285949694309E-3</v>
      </c>
    </row>
    <row r="24" spans="1:2" x14ac:dyDescent="0.25">
      <c r="A24" s="11">
        <v>19</v>
      </c>
      <c r="B24" s="11">
        <f t="shared" si="0"/>
        <v>1.0839894746225687E-3</v>
      </c>
    </row>
    <row r="25" spans="1:2" x14ac:dyDescent="0.25">
      <c r="A25" s="11">
        <v>20</v>
      </c>
      <c r="B25" s="11">
        <f t="shared" si="0"/>
        <v>3.9148291282784519E-6</v>
      </c>
    </row>
    <row r="26" spans="1:2" x14ac:dyDescent="0.25">
      <c r="A26" s="11">
        <v>21</v>
      </c>
      <c r="B26" s="11">
        <f t="shared" si="0"/>
        <v>9.0719378110412294E-4</v>
      </c>
    </row>
    <row r="27" spans="1:2" x14ac:dyDescent="0.25">
      <c r="A27" s="11">
        <v>22</v>
      </c>
      <c r="B27" s="11">
        <f t="shared" si="0"/>
        <v>1.9952637062792293E-3</v>
      </c>
    </row>
    <row r="28" spans="1:2" x14ac:dyDescent="0.25">
      <c r="A28" s="11">
        <v>23</v>
      </c>
      <c r="B28" s="11">
        <f t="shared" si="0"/>
        <v>1.1016156920607969E-3</v>
      </c>
    </row>
    <row r="29" spans="1:2" x14ac:dyDescent="0.25">
      <c r="A29" s="11">
        <v>24</v>
      </c>
      <c r="B29" s="11">
        <f t="shared" si="0"/>
        <v>5.6357344485863379E-6</v>
      </c>
    </row>
    <row r="30" spans="1:2" x14ac:dyDescent="0.25">
      <c r="A30" s="11">
        <v>25</v>
      </c>
      <c r="B30" s="11">
        <f t="shared" si="0"/>
        <v>8.8958279608032209E-4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B7" sqref="B7"/>
    </sheetView>
  </sheetViews>
  <sheetFormatPr defaultRowHeight="15" x14ac:dyDescent="0.25"/>
  <cols>
    <col min="1" max="16384" width="9.140625" style="5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>
        <v>1E-3</v>
      </c>
      <c r="B2" s="2">
        <v>11</v>
      </c>
      <c r="C2" s="2">
        <v>0</v>
      </c>
    </row>
    <row r="4" spans="1:3" x14ac:dyDescent="0.25">
      <c r="A4" s="3" t="s">
        <v>5</v>
      </c>
      <c r="B4" s="3" t="s">
        <v>7</v>
      </c>
    </row>
    <row r="5" spans="1:3" x14ac:dyDescent="0.25">
      <c r="A5" s="6">
        <v>0</v>
      </c>
      <c r="B5" s="6">
        <f>-($A$2*$B$2*SIN($B$2*A5+$C$2))</f>
        <v>0</v>
      </c>
    </row>
    <row r="6" spans="1:3" x14ac:dyDescent="0.25">
      <c r="A6" s="6">
        <v>1</v>
      </c>
      <c r="B6" s="6">
        <f>-($A$2*$B$2*SIN($B$2*A6+$C$2))</f>
        <v>1.0999892272057738E-2</v>
      </c>
    </row>
    <row r="7" spans="1:3" x14ac:dyDescent="0.25">
      <c r="A7" s="6">
        <v>2</v>
      </c>
      <c r="B7" s="6">
        <f t="shared" ref="B7:B30" si="0">-($A$2*$B$2*SIN($B$2*A7+$C$2))</f>
        <v>9.7364402194442638E-5</v>
      </c>
    </row>
    <row r="8" spans="1:3" x14ac:dyDescent="0.25">
      <c r="A8" s="6">
        <v>3</v>
      </c>
      <c r="B8" s="6">
        <f t="shared" si="0"/>
        <v>-1.0999030461179938E-2</v>
      </c>
    </row>
    <row r="9" spans="1:3" x14ac:dyDescent="0.25">
      <c r="A9" s="6">
        <v>4</v>
      </c>
      <c r="B9" s="6">
        <f t="shared" si="0"/>
        <v>-1.9472117615954934E-4</v>
      </c>
    </row>
    <row r="10" spans="1:3" x14ac:dyDescent="0.25">
      <c r="A10" s="6">
        <v>5</v>
      </c>
      <c r="B10" s="6">
        <f t="shared" si="0"/>
        <v>1.0997306906944818E-2</v>
      </c>
    </row>
    <row r="11" spans="1:3" x14ac:dyDescent="0.25">
      <c r="A11" s="6">
        <v>6</v>
      </c>
      <c r="B11" s="6">
        <f t="shared" si="0"/>
        <v>2.920626942636347E-4</v>
      </c>
    </row>
    <row r="12" spans="1:3" x14ac:dyDescent="0.25">
      <c r="A12" s="6">
        <v>7</v>
      </c>
      <c r="B12" s="6">
        <f t="shared" si="0"/>
        <v>-1.0994721744388043E-2</v>
      </c>
    </row>
    <row r="13" spans="1:3" x14ac:dyDescent="0.25">
      <c r="A13" s="6">
        <v>8</v>
      </c>
      <c r="B13" s="6">
        <f t="shared" si="0"/>
        <v>-3.8938133007026745E-4</v>
      </c>
    </row>
    <row r="14" spans="1:3" x14ac:dyDescent="0.25">
      <c r="A14" s="6">
        <v>9</v>
      </c>
      <c r="B14" s="6">
        <f t="shared" si="0"/>
        <v>1.099127517604989E-2</v>
      </c>
    </row>
    <row r="15" spans="1:3" x14ac:dyDescent="0.25">
      <c r="A15" s="6">
        <v>10</v>
      </c>
      <c r="B15" s="6">
        <f t="shared" si="0"/>
        <v>4.8666945893578056E-4</v>
      </c>
    </row>
    <row r="16" spans="1:3" x14ac:dyDescent="0.25">
      <c r="A16" s="6">
        <v>11</v>
      </c>
      <c r="B16" s="6">
        <f t="shared" si="0"/>
        <v>-1.0986967471959375E-2</v>
      </c>
    </row>
    <row r="17" spans="1:2" x14ac:dyDescent="0.25">
      <c r="A17" s="6">
        <v>12</v>
      </c>
      <c r="B17" s="6">
        <f t="shared" si="0"/>
        <v>-5.8391945860664064E-4</v>
      </c>
    </row>
    <row r="18" spans="1:2" x14ac:dyDescent="0.25">
      <c r="A18" s="6">
        <v>13</v>
      </c>
      <c r="B18" s="6">
        <f t="shared" si="0"/>
        <v>1.0981798969613096E-2</v>
      </c>
    </row>
    <row r="19" spans="1:2" x14ac:dyDescent="0.25">
      <c r="A19" s="6">
        <v>14</v>
      </c>
      <c r="B19" s="6">
        <f t="shared" si="0"/>
        <v>6.8112370981663034E-4</v>
      </c>
    </row>
    <row r="20" spans="1:2" x14ac:dyDescent="0.25">
      <c r="A20" s="6">
        <v>15</v>
      </c>
      <c r="B20" s="6">
        <f t="shared" si="0"/>
        <v>-1.0975770073948798E-2</v>
      </c>
    </row>
    <row r="21" spans="1:2" x14ac:dyDescent="0.25">
      <c r="A21" s="6">
        <v>16</v>
      </c>
      <c r="B21" s="6">
        <f t="shared" si="0"/>
        <v>-7.7827459688379686E-4</v>
      </c>
    </row>
    <row r="22" spans="1:2" x14ac:dyDescent="0.25">
      <c r="A22" s="6">
        <v>17</v>
      </c>
      <c r="B22" s="6">
        <f t="shared" si="0"/>
        <v>1.0968881257313639E-2</v>
      </c>
    </row>
    <row r="23" spans="1:2" x14ac:dyDescent="0.25">
      <c r="A23" s="6">
        <v>18</v>
      </c>
      <c r="B23" s="6">
        <f t="shared" si="0"/>
        <v>8.7536450830711873E-4</v>
      </c>
    </row>
    <row r="24" spans="1:2" x14ac:dyDescent="0.25">
      <c r="A24" s="6">
        <v>19</v>
      </c>
      <c r="B24" s="6">
        <f t="shared" si="0"/>
        <v>-1.0961133059427187E-2</v>
      </c>
    </row>
    <row r="25" spans="1:2" x14ac:dyDescent="0.25">
      <c r="A25" s="6">
        <v>20</v>
      </c>
      <c r="B25" s="6">
        <f t="shared" si="0"/>
        <v>-9.7238583736284636E-4</v>
      </c>
    </row>
    <row r="26" spans="1:2" x14ac:dyDescent="0.25">
      <c r="A26" s="6">
        <v>21</v>
      </c>
      <c r="B26" s="6">
        <f t="shared" si="0"/>
        <v>1.0952526087339135E-2</v>
      </c>
    </row>
    <row r="27" spans="1:2" x14ac:dyDescent="0.25">
      <c r="A27" s="6">
        <v>22</v>
      </c>
      <c r="B27" s="6">
        <f t="shared" si="0"/>
        <v>1.0693309827004675E-3</v>
      </c>
    </row>
    <row r="28" spans="1:2" x14ac:dyDescent="0.25">
      <c r="A28" s="6">
        <v>23</v>
      </c>
      <c r="B28" s="6">
        <f t="shared" si="0"/>
        <v>-1.094306101538174E-2</v>
      </c>
    </row>
    <row r="29" spans="1:2" x14ac:dyDescent="0.25">
      <c r="A29" s="6">
        <v>24</v>
      </c>
      <c r="B29" s="6">
        <f t="shared" si="0"/>
        <v>-1.1661923489382515E-3</v>
      </c>
    </row>
    <row r="30" spans="1:2" x14ac:dyDescent="0.25">
      <c r="A30" s="6">
        <v>25</v>
      </c>
      <c r="B30" s="6">
        <f t="shared" si="0"/>
        <v>1.0932738585116987E-2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C32" sqref="C32"/>
    </sheetView>
  </sheetViews>
  <sheetFormatPr defaultRowHeight="15" x14ac:dyDescent="0.25"/>
  <cols>
    <col min="1" max="16384" width="9.140625" style="5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15">
        <v>1E-3</v>
      </c>
      <c r="B2" s="6">
        <v>11</v>
      </c>
      <c r="C2" s="6">
        <v>1E-4</v>
      </c>
      <c r="D2" s="6">
        <v>0</v>
      </c>
      <c r="E2" s="6">
        <v>100</v>
      </c>
    </row>
    <row r="4" spans="1:5" x14ac:dyDescent="0.25">
      <c r="A4" s="3" t="s">
        <v>5</v>
      </c>
      <c r="B4" s="3" t="s">
        <v>8</v>
      </c>
    </row>
    <row r="5" spans="1:5" x14ac:dyDescent="0.25">
      <c r="A5" s="6">
        <v>0</v>
      </c>
      <c r="B5" s="6">
        <f>$E$2*(1-COS($B$2*A5))</f>
        <v>0</v>
      </c>
    </row>
    <row r="6" spans="1:5" x14ac:dyDescent="0.25">
      <c r="A6" s="6">
        <v>1</v>
      </c>
      <c r="B6" s="6">
        <f t="shared" ref="B6:B30" si="0">$E$2*(1-COS($B$2*A6))</f>
        <v>99.557430201194919</v>
      </c>
    </row>
    <row r="7" spans="1:5" x14ac:dyDescent="0.25">
      <c r="A7" s="6">
        <v>2</v>
      </c>
      <c r="B7" s="6">
        <f t="shared" si="0"/>
        <v>199.99608263946371</v>
      </c>
    </row>
    <row r="8" spans="1:5" x14ac:dyDescent="0.25">
      <c r="A8" s="6">
        <v>3</v>
      </c>
      <c r="B8" s="6">
        <f t="shared" si="0"/>
        <v>101.32767472230594</v>
      </c>
    </row>
    <row r="9" spans="1:5" x14ac:dyDescent="0.25">
      <c r="A9" s="6">
        <v>4</v>
      </c>
      <c r="B9" s="6">
        <f t="shared" si="0"/>
        <v>1.5669135230877984E-2</v>
      </c>
    </row>
    <row r="10" spans="1:5" x14ac:dyDescent="0.25">
      <c r="A10" s="6">
        <v>5</v>
      </c>
      <c r="B10" s="6">
        <f t="shared" si="0"/>
        <v>97.787324373804424</v>
      </c>
    </row>
    <row r="11" spans="1:5" x14ac:dyDescent="0.25">
      <c r="A11" s="6">
        <v>6</v>
      </c>
      <c r="B11" s="6">
        <f t="shared" si="0"/>
        <v>199.964745596635</v>
      </c>
    </row>
    <row r="12" spans="1:5" x14ac:dyDescent="0.25">
      <c r="A12" s="6">
        <v>7</v>
      </c>
      <c r="B12" s="6">
        <f t="shared" si="0"/>
        <v>103.09750317312165</v>
      </c>
    </row>
    <row r="13" spans="1:5" x14ac:dyDescent="0.25">
      <c r="A13" s="6">
        <v>8</v>
      </c>
      <c r="B13" s="6">
        <f t="shared" si="0"/>
        <v>6.2671630487531882E-2</v>
      </c>
    </row>
    <row r="14" spans="1:5" x14ac:dyDescent="0.25">
      <c r="A14" s="6">
        <v>9</v>
      </c>
      <c r="B14" s="6">
        <f t="shared" si="0"/>
        <v>96.017911960686106</v>
      </c>
    </row>
    <row r="15" spans="1:5" x14ac:dyDescent="0.25">
      <c r="A15" s="6">
        <v>10</v>
      </c>
      <c r="B15" s="6">
        <f t="shared" si="0"/>
        <v>199.90208133146479</v>
      </c>
    </row>
    <row r="16" spans="1:5" x14ac:dyDescent="0.25">
      <c r="A16" s="6">
        <v>11</v>
      </c>
      <c r="B16" s="6">
        <f t="shared" si="0"/>
        <v>104.86636092001538</v>
      </c>
    </row>
    <row r="17" spans="1:2" x14ac:dyDescent="0.25">
      <c r="A17" s="6">
        <v>12</v>
      </c>
      <c r="B17" s="6">
        <f t="shared" si="0"/>
        <v>0.14099275600087946</v>
      </c>
    </row>
    <row r="18" spans="1:2" x14ac:dyDescent="0.25">
      <c r="A18" s="6">
        <v>13</v>
      </c>
      <c r="B18" s="6">
        <f t="shared" si="0"/>
        <v>94.24974746508758</v>
      </c>
    </row>
    <row r="19" spans="1:2" x14ac:dyDescent="0.25">
      <c r="A19" s="6">
        <v>14</v>
      </c>
      <c r="B19" s="6">
        <f t="shared" si="0"/>
        <v>199.80810948185001</v>
      </c>
    </row>
    <row r="20" spans="1:2" x14ac:dyDescent="0.25">
      <c r="A20" s="6">
        <v>15</v>
      </c>
      <c r="B20" s="6">
        <f t="shared" si="0"/>
        <v>106.63369363356236</v>
      </c>
    </row>
    <row r="21" spans="1:2" x14ac:dyDescent="0.25">
      <c r="A21" s="6">
        <v>16</v>
      </c>
      <c r="B21" s="6">
        <f t="shared" si="0"/>
        <v>0.25060796728477719</v>
      </c>
    </row>
    <row r="22" spans="1:2" x14ac:dyDescent="0.25">
      <c r="A22" s="6">
        <v>17</v>
      </c>
      <c r="B22" s="6">
        <f t="shared" si="0"/>
        <v>92.483384999180672</v>
      </c>
    </row>
    <row r="23" spans="1:2" x14ac:dyDescent="0.25">
      <c r="A23" s="6">
        <v>18</v>
      </c>
      <c r="B23" s="6">
        <f t="shared" si="0"/>
        <v>199.68285949694305</v>
      </c>
    </row>
    <row r="24" spans="1:2" x14ac:dyDescent="0.25">
      <c r="A24" s="6">
        <v>19</v>
      </c>
      <c r="B24" s="6">
        <f t="shared" si="0"/>
        <v>108.39894746225687</v>
      </c>
    </row>
    <row r="25" spans="1:2" x14ac:dyDescent="0.25">
      <c r="A25" s="6">
        <v>20</v>
      </c>
      <c r="B25" s="6">
        <f t="shared" si="0"/>
        <v>0.3914829128278452</v>
      </c>
    </row>
    <row r="26" spans="1:2" x14ac:dyDescent="0.25">
      <c r="A26" s="6">
        <v>21</v>
      </c>
      <c r="B26" s="6">
        <f t="shared" si="0"/>
        <v>90.719378110412293</v>
      </c>
    </row>
    <row r="27" spans="1:2" x14ac:dyDescent="0.25">
      <c r="A27" s="6">
        <v>22</v>
      </c>
      <c r="B27" s="6">
        <f t="shared" si="0"/>
        <v>199.52637062792294</v>
      </c>
    </row>
    <row r="28" spans="1:2" x14ac:dyDescent="0.25">
      <c r="A28" s="6">
        <v>23</v>
      </c>
      <c r="B28" s="6">
        <f t="shared" si="0"/>
        <v>110.16156920607969</v>
      </c>
    </row>
    <row r="29" spans="1:2" x14ac:dyDescent="0.25">
      <c r="A29" s="6">
        <v>24</v>
      </c>
      <c r="B29" s="6">
        <f t="shared" si="0"/>
        <v>0.56357344485863381</v>
      </c>
    </row>
    <row r="30" spans="1:2" x14ac:dyDescent="0.25">
      <c r="A30" s="6">
        <v>25</v>
      </c>
      <c r="B30" s="6">
        <f t="shared" si="0"/>
        <v>88.958279608032214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q(t)</vt:lpstr>
      <vt:lpstr>I(t)</vt:lpstr>
      <vt:lpstr>U(t)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Аннануров</dc:creator>
  <cp:lastModifiedBy>Даниил Аннануров</cp:lastModifiedBy>
  <dcterms:created xsi:type="dcterms:W3CDTF">2022-11-13T10:33:02Z</dcterms:created>
  <dcterms:modified xsi:type="dcterms:W3CDTF">2022-11-29T14:34:19Z</dcterms:modified>
</cp:coreProperties>
</file>