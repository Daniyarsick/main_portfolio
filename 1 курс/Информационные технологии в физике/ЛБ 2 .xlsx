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Работы1\ИТФ\Тема 2\"/>
    </mc:Choice>
  </mc:AlternateContent>
  <bookViews>
    <workbookView xWindow="0" yWindow="0" windowWidth="23040" windowHeight="914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5" i="1" l="1"/>
  <c r="AA84" i="1" l="1"/>
  <c r="Z6" i="1"/>
  <c r="Y84" i="1"/>
  <c r="Y5" i="1"/>
  <c r="W9" i="1"/>
  <c r="W96" i="1"/>
  <c r="W5" i="1"/>
  <c r="X6" i="1"/>
  <c r="Y6" i="1" s="1"/>
  <c r="V6" i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W31" i="1" s="1"/>
  <c r="W25" i="1" l="1"/>
  <c r="W17" i="1"/>
  <c r="W30" i="1"/>
  <c r="W22" i="1"/>
  <c r="W14" i="1"/>
  <c r="W6" i="1"/>
  <c r="W29" i="1"/>
  <c r="W21" i="1"/>
  <c r="W13" i="1"/>
  <c r="W26" i="1"/>
  <c r="W18" i="1"/>
  <c r="W10" i="1"/>
  <c r="Z7" i="1"/>
  <c r="AA6" i="1"/>
  <c r="W28" i="1"/>
  <c r="W24" i="1"/>
  <c r="W20" i="1"/>
  <c r="W16" i="1"/>
  <c r="W12" i="1"/>
  <c r="W8" i="1"/>
  <c r="W27" i="1"/>
  <c r="W23" i="1"/>
  <c r="W19" i="1"/>
  <c r="W15" i="1"/>
  <c r="W11" i="1"/>
  <c r="W7" i="1"/>
  <c r="X7" i="1"/>
  <c r="Y7" i="1" s="1"/>
  <c r="V32" i="1"/>
  <c r="W32" i="1" s="1"/>
  <c r="B5" i="1"/>
  <c r="X8" i="1" l="1"/>
  <c r="X9" i="1" s="1"/>
  <c r="Y8" i="1"/>
  <c r="Z8" i="1"/>
  <c r="AA7" i="1"/>
  <c r="V33" i="1"/>
  <c r="W33" i="1" s="1"/>
  <c r="B6" i="1"/>
  <c r="Z9" i="1" l="1"/>
  <c r="AA8" i="1"/>
  <c r="X10" i="1"/>
  <c r="Y9" i="1"/>
  <c r="V34" i="1"/>
  <c r="W34" i="1" s="1"/>
  <c r="Y10" i="1" l="1"/>
  <c r="X11" i="1"/>
  <c r="AA9" i="1"/>
  <c r="Z10" i="1"/>
  <c r="V35" i="1"/>
  <c r="W35" i="1" s="1"/>
  <c r="M248" i="1"/>
  <c r="AA10" i="1" l="1"/>
  <c r="Z11" i="1"/>
  <c r="Y11" i="1"/>
  <c r="X12" i="1"/>
  <c r="V36" i="1"/>
  <c r="W36" i="1" s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L5" i="1" s="1"/>
  <c r="M5" i="1" s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Y12" i="1" l="1"/>
  <c r="X13" i="1"/>
  <c r="AA11" i="1"/>
  <c r="Z12" i="1"/>
  <c r="V37" i="1"/>
  <c r="W37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AA12" i="1" l="1"/>
  <c r="Z13" i="1"/>
  <c r="Y13" i="1"/>
  <c r="X14" i="1"/>
  <c r="V38" i="1"/>
  <c r="W38" i="1" s="1"/>
  <c r="M21" i="1"/>
  <c r="M37" i="1"/>
  <c r="M53" i="1"/>
  <c r="M69" i="1"/>
  <c r="M89" i="1"/>
  <c r="M109" i="1"/>
  <c r="M137" i="1"/>
  <c r="M18" i="1"/>
  <c r="M34" i="1"/>
  <c r="M50" i="1"/>
  <c r="M70" i="1"/>
  <c r="M94" i="1"/>
  <c r="M7" i="1"/>
  <c r="M23" i="1"/>
  <c r="M43" i="1"/>
  <c r="M87" i="1"/>
  <c r="M24" i="1"/>
  <c r="M9" i="1"/>
  <c r="M25" i="1"/>
  <c r="M57" i="1"/>
  <c r="M73" i="1"/>
  <c r="M117" i="1"/>
  <c r="M6" i="1"/>
  <c r="M38" i="1"/>
  <c r="M74" i="1"/>
  <c r="M11" i="1"/>
  <c r="M47" i="1"/>
  <c r="M8" i="1"/>
  <c r="M61" i="1"/>
  <c r="M15" i="1"/>
  <c r="M41" i="1"/>
  <c r="M93" i="1"/>
  <c r="M22" i="1"/>
  <c r="M54" i="1"/>
  <c r="M102" i="1"/>
  <c r="M27" i="1"/>
  <c r="M32" i="1"/>
  <c r="M13" i="1"/>
  <c r="M29" i="1"/>
  <c r="M45" i="1"/>
  <c r="M77" i="1"/>
  <c r="M97" i="1"/>
  <c r="M125" i="1"/>
  <c r="M10" i="1"/>
  <c r="M26" i="1"/>
  <c r="M42" i="1"/>
  <c r="M58" i="1"/>
  <c r="M78" i="1"/>
  <c r="M122" i="1"/>
  <c r="M31" i="1"/>
  <c r="M63" i="1"/>
  <c r="M12" i="1"/>
  <c r="M36" i="1"/>
  <c r="M17" i="1"/>
  <c r="M33" i="1"/>
  <c r="M49" i="1"/>
  <c r="M65" i="1"/>
  <c r="M81" i="1"/>
  <c r="M105" i="1"/>
  <c r="M133" i="1"/>
  <c r="M14" i="1"/>
  <c r="M30" i="1"/>
  <c r="M46" i="1"/>
  <c r="M62" i="1"/>
  <c r="M90" i="1"/>
  <c r="M130" i="1"/>
  <c r="M19" i="1"/>
  <c r="M39" i="1"/>
  <c r="M67" i="1"/>
  <c r="M16" i="1"/>
  <c r="M148" i="1"/>
  <c r="M123" i="1"/>
  <c r="M85" i="1"/>
  <c r="M101" i="1"/>
  <c r="M121" i="1"/>
  <c r="M141" i="1"/>
  <c r="M66" i="1"/>
  <c r="M86" i="1"/>
  <c r="M106" i="1"/>
  <c r="M138" i="1"/>
  <c r="M35" i="1"/>
  <c r="M51" i="1"/>
  <c r="M79" i="1"/>
  <c r="M147" i="1"/>
  <c r="M20" i="1"/>
  <c r="M40" i="1"/>
  <c r="M114" i="1"/>
  <c r="M59" i="1"/>
  <c r="M83" i="1"/>
  <c r="M64" i="1"/>
  <c r="M113" i="1"/>
  <c r="M129" i="1"/>
  <c r="M149" i="1"/>
  <c r="M82" i="1"/>
  <c r="M98" i="1"/>
  <c r="M118" i="1"/>
  <c r="M55" i="1"/>
  <c r="M71" i="1"/>
  <c r="M103" i="1"/>
  <c r="M96" i="1"/>
  <c r="M145" i="1"/>
  <c r="M110" i="1"/>
  <c r="M126" i="1"/>
  <c r="M146" i="1"/>
  <c r="M75" i="1"/>
  <c r="M91" i="1"/>
  <c r="M107" i="1"/>
  <c r="M127" i="1"/>
  <c r="M48" i="1"/>
  <c r="M68" i="1"/>
  <c r="M100" i="1"/>
  <c r="M150" i="1"/>
  <c r="M95" i="1"/>
  <c r="M111" i="1"/>
  <c r="M131" i="1"/>
  <c r="M52" i="1"/>
  <c r="M80" i="1"/>
  <c r="M116" i="1"/>
  <c r="M134" i="1"/>
  <c r="M99" i="1"/>
  <c r="M115" i="1"/>
  <c r="M139" i="1"/>
  <c r="M56" i="1"/>
  <c r="M84" i="1"/>
  <c r="M132" i="1"/>
  <c r="M142" i="1"/>
  <c r="M119" i="1"/>
  <c r="M135" i="1"/>
  <c r="M72" i="1"/>
  <c r="M88" i="1"/>
  <c r="M104" i="1"/>
  <c r="M120" i="1"/>
  <c r="M136" i="1"/>
  <c r="M28" i="1"/>
  <c r="M44" i="1"/>
  <c r="M60" i="1"/>
  <c r="M76" i="1"/>
  <c r="M92" i="1"/>
  <c r="M108" i="1"/>
  <c r="M124" i="1"/>
  <c r="M140" i="1"/>
  <c r="M143" i="1"/>
  <c r="M112" i="1"/>
  <c r="M128" i="1"/>
  <c r="M144" i="1"/>
  <c r="L152" i="1"/>
  <c r="M151" i="1"/>
  <c r="AA13" i="1" l="1"/>
  <c r="Z14" i="1"/>
  <c r="Y14" i="1"/>
  <c r="X15" i="1"/>
  <c r="V39" i="1"/>
  <c r="W39" i="1" s="1"/>
  <c r="L153" i="1"/>
  <c r="M152" i="1"/>
  <c r="Y15" i="1" l="1"/>
  <c r="X16" i="1"/>
  <c r="AA14" i="1"/>
  <c r="Z15" i="1"/>
  <c r="V40" i="1"/>
  <c r="W40" i="1" s="1"/>
  <c r="L154" i="1"/>
  <c r="M153" i="1"/>
  <c r="AA15" i="1" l="1"/>
  <c r="Z16" i="1"/>
  <c r="Y16" i="1"/>
  <c r="X17" i="1"/>
  <c r="V41" i="1"/>
  <c r="W41" i="1" s="1"/>
  <c r="L155" i="1"/>
  <c r="M154" i="1"/>
  <c r="AA16" i="1" l="1"/>
  <c r="Z17" i="1"/>
  <c r="Y17" i="1"/>
  <c r="X18" i="1"/>
  <c r="V42" i="1"/>
  <c r="W42" i="1" s="1"/>
  <c r="L156" i="1"/>
  <c r="M155" i="1"/>
  <c r="Y18" i="1" l="1"/>
  <c r="X19" i="1"/>
  <c r="AA17" i="1"/>
  <c r="Z18" i="1"/>
  <c r="V43" i="1"/>
  <c r="W43" i="1" s="1"/>
  <c r="L157" i="1"/>
  <c r="M156" i="1"/>
  <c r="AA18" i="1" l="1"/>
  <c r="Z19" i="1"/>
  <c r="Y19" i="1"/>
  <c r="X20" i="1"/>
  <c r="V44" i="1"/>
  <c r="W44" i="1" s="1"/>
  <c r="L158" i="1"/>
  <c r="M157" i="1"/>
  <c r="Y20" i="1" l="1"/>
  <c r="X21" i="1"/>
  <c r="AA19" i="1"/>
  <c r="Z20" i="1"/>
  <c r="V45" i="1"/>
  <c r="W45" i="1" s="1"/>
  <c r="L159" i="1"/>
  <c r="M158" i="1"/>
  <c r="AA20" i="1" l="1"/>
  <c r="Z21" i="1"/>
  <c r="Y21" i="1"/>
  <c r="X22" i="1"/>
  <c r="V46" i="1"/>
  <c r="W46" i="1" s="1"/>
  <c r="L160" i="1"/>
  <c r="M159" i="1"/>
  <c r="Y22" i="1" l="1"/>
  <c r="X23" i="1"/>
  <c r="AA21" i="1"/>
  <c r="Z22" i="1"/>
  <c r="V47" i="1"/>
  <c r="W47" i="1" s="1"/>
  <c r="L161" i="1"/>
  <c r="M160" i="1"/>
  <c r="AA22" i="1" l="1"/>
  <c r="Z23" i="1"/>
  <c r="Y23" i="1"/>
  <c r="X24" i="1"/>
  <c r="V48" i="1"/>
  <c r="W48" i="1" s="1"/>
  <c r="L162" i="1"/>
  <c r="M161" i="1"/>
  <c r="AA23" i="1" l="1"/>
  <c r="Z24" i="1"/>
  <c r="Y24" i="1"/>
  <c r="X25" i="1"/>
  <c r="V49" i="1"/>
  <c r="W49" i="1" s="1"/>
  <c r="L163" i="1"/>
  <c r="M162" i="1"/>
  <c r="Y25" i="1" l="1"/>
  <c r="X26" i="1"/>
  <c r="AA24" i="1"/>
  <c r="Z25" i="1"/>
  <c r="V50" i="1"/>
  <c r="W50" i="1" s="1"/>
  <c r="L164" i="1"/>
  <c r="M163" i="1"/>
  <c r="AA25" i="1" l="1"/>
  <c r="Z26" i="1"/>
  <c r="Y26" i="1"/>
  <c r="X27" i="1"/>
  <c r="V51" i="1"/>
  <c r="W51" i="1" s="1"/>
  <c r="L165" i="1"/>
  <c r="M164" i="1"/>
  <c r="Y27" i="1" l="1"/>
  <c r="X28" i="1"/>
  <c r="AA26" i="1"/>
  <c r="Z27" i="1"/>
  <c r="V52" i="1"/>
  <c r="W52" i="1" s="1"/>
  <c r="L166" i="1"/>
  <c r="M165" i="1"/>
  <c r="AA27" i="1" l="1"/>
  <c r="Z28" i="1"/>
  <c r="Y28" i="1"/>
  <c r="X29" i="1"/>
  <c r="V53" i="1"/>
  <c r="W53" i="1" s="1"/>
  <c r="L167" i="1"/>
  <c r="M166" i="1"/>
  <c r="Y29" i="1" l="1"/>
  <c r="X30" i="1"/>
  <c r="AA28" i="1"/>
  <c r="Z29" i="1"/>
  <c r="V54" i="1"/>
  <c r="W54" i="1" s="1"/>
  <c r="L168" i="1"/>
  <c r="M167" i="1"/>
  <c r="AA29" i="1" l="1"/>
  <c r="Z30" i="1"/>
  <c r="Y30" i="1"/>
  <c r="X31" i="1"/>
  <c r="V55" i="1"/>
  <c r="W55" i="1" s="1"/>
  <c r="L169" i="1"/>
  <c r="M168" i="1"/>
  <c r="Y31" i="1" l="1"/>
  <c r="X32" i="1"/>
  <c r="AA30" i="1"/>
  <c r="Z31" i="1"/>
  <c r="V56" i="1"/>
  <c r="W56" i="1" s="1"/>
  <c r="L170" i="1"/>
  <c r="M169" i="1"/>
  <c r="AA31" i="1" l="1"/>
  <c r="Z32" i="1"/>
  <c r="Y32" i="1"/>
  <c r="X33" i="1"/>
  <c r="V57" i="1"/>
  <c r="W57" i="1" s="1"/>
  <c r="L171" i="1"/>
  <c r="M170" i="1"/>
  <c r="Y33" i="1" l="1"/>
  <c r="X34" i="1"/>
  <c r="AA32" i="1"/>
  <c r="Z33" i="1"/>
  <c r="V58" i="1"/>
  <c r="W58" i="1" s="1"/>
  <c r="L172" i="1"/>
  <c r="M171" i="1"/>
  <c r="AA33" i="1" l="1"/>
  <c r="Z34" i="1"/>
  <c r="Y34" i="1"/>
  <c r="X35" i="1"/>
  <c r="V59" i="1"/>
  <c r="W59" i="1" s="1"/>
  <c r="L173" i="1"/>
  <c r="M172" i="1"/>
  <c r="Y35" i="1" l="1"/>
  <c r="X36" i="1"/>
  <c r="AA34" i="1"/>
  <c r="Z35" i="1"/>
  <c r="V60" i="1"/>
  <c r="W60" i="1" s="1"/>
  <c r="L174" i="1"/>
  <c r="M173" i="1"/>
  <c r="AA35" i="1" l="1"/>
  <c r="Z36" i="1"/>
  <c r="Y36" i="1"/>
  <c r="X37" i="1"/>
  <c r="V61" i="1"/>
  <c r="W61" i="1" s="1"/>
  <c r="L175" i="1"/>
  <c r="M174" i="1"/>
  <c r="Y37" i="1" l="1"/>
  <c r="X38" i="1"/>
  <c r="AA36" i="1"/>
  <c r="Z37" i="1"/>
  <c r="V62" i="1"/>
  <c r="W62" i="1" s="1"/>
  <c r="L176" i="1"/>
  <c r="M175" i="1"/>
  <c r="AA37" i="1" l="1"/>
  <c r="Z38" i="1"/>
  <c r="Y38" i="1"/>
  <c r="X39" i="1"/>
  <c r="V63" i="1"/>
  <c r="W63" i="1" s="1"/>
  <c r="L177" i="1"/>
  <c r="M176" i="1"/>
  <c r="Y39" i="1" l="1"/>
  <c r="X40" i="1"/>
  <c r="AA38" i="1"/>
  <c r="Z39" i="1"/>
  <c r="V64" i="1"/>
  <c r="W64" i="1" s="1"/>
  <c r="L178" i="1"/>
  <c r="M177" i="1"/>
  <c r="AA39" i="1" l="1"/>
  <c r="Z40" i="1"/>
  <c r="Y40" i="1"/>
  <c r="X41" i="1"/>
  <c r="V65" i="1"/>
  <c r="W65" i="1" s="1"/>
  <c r="L179" i="1"/>
  <c r="M178" i="1"/>
  <c r="Y41" i="1" l="1"/>
  <c r="X42" i="1"/>
  <c r="AA40" i="1"/>
  <c r="Z41" i="1"/>
  <c r="V66" i="1"/>
  <c r="W66" i="1" s="1"/>
  <c r="L180" i="1"/>
  <c r="M179" i="1"/>
  <c r="AA41" i="1" l="1"/>
  <c r="Z42" i="1"/>
  <c r="Y42" i="1"/>
  <c r="X43" i="1"/>
  <c r="V67" i="1"/>
  <c r="W67" i="1" s="1"/>
  <c r="L181" i="1"/>
  <c r="M180" i="1"/>
  <c r="Y43" i="1" l="1"/>
  <c r="X44" i="1"/>
  <c r="AA42" i="1"/>
  <c r="Z43" i="1"/>
  <c r="V68" i="1"/>
  <c r="W68" i="1" s="1"/>
  <c r="L182" i="1"/>
  <c r="M181" i="1"/>
  <c r="AA43" i="1" l="1"/>
  <c r="Z44" i="1"/>
  <c r="Y44" i="1"/>
  <c r="X45" i="1"/>
  <c r="V69" i="1"/>
  <c r="W69" i="1" s="1"/>
  <c r="L183" i="1"/>
  <c r="M182" i="1"/>
  <c r="Y45" i="1" l="1"/>
  <c r="X46" i="1"/>
  <c r="AA44" i="1"/>
  <c r="Z45" i="1"/>
  <c r="V70" i="1"/>
  <c r="W70" i="1" s="1"/>
  <c r="L184" i="1"/>
  <c r="M183" i="1"/>
  <c r="AA45" i="1" l="1"/>
  <c r="Z46" i="1"/>
  <c r="Y46" i="1"/>
  <c r="X47" i="1"/>
  <c r="V71" i="1"/>
  <c r="W71" i="1" s="1"/>
  <c r="L185" i="1"/>
  <c r="M184" i="1"/>
  <c r="Y47" i="1" l="1"/>
  <c r="X48" i="1"/>
  <c r="AA46" i="1"/>
  <c r="Z47" i="1"/>
  <c r="V72" i="1"/>
  <c r="W72" i="1" s="1"/>
  <c r="L186" i="1"/>
  <c r="M185" i="1"/>
  <c r="AA47" i="1" l="1"/>
  <c r="Z48" i="1"/>
  <c r="Y48" i="1"/>
  <c r="X49" i="1"/>
  <c r="V73" i="1"/>
  <c r="W73" i="1" s="1"/>
  <c r="L187" i="1"/>
  <c r="M186" i="1"/>
  <c r="Y49" i="1" l="1"/>
  <c r="X50" i="1"/>
  <c r="AA48" i="1"/>
  <c r="Z49" i="1"/>
  <c r="V74" i="1"/>
  <c r="W74" i="1" s="1"/>
  <c r="L188" i="1"/>
  <c r="M187" i="1"/>
  <c r="AA49" i="1" l="1"/>
  <c r="Z50" i="1"/>
  <c r="Y50" i="1"/>
  <c r="X51" i="1"/>
  <c r="V75" i="1"/>
  <c r="W75" i="1" s="1"/>
  <c r="L189" i="1"/>
  <c r="M188" i="1"/>
  <c r="AA50" i="1" l="1"/>
  <c r="Z51" i="1"/>
  <c r="Y51" i="1"/>
  <c r="X52" i="1"/>
  <c r="V76" i="1"/>
  <c r="W76" i="1" s="1"/>
  <c r="L190" i="1"/>
  <c r="M189" i="1"/>
  <c r="AA51" i="1" l="1"/>
  <c r="Z52" i="1"/>
  <c r="Y52" i="1"/>
  <c r="X53" i="1"/>
  <c r="V77" i="1"/>
  <c r="W77" i="1" s="1"/>
  <c r="L191" i="1"/>
  <c r="M190" i="1"/>
  <c r="Y53" i="1" l="1"/>
  <c r="X54" i="1"/>
  <c r="AA52" i="1"/>
  <c r="Z53" i="1"/>
  <c r="V78" i="1"/>
  <c r="W78" i="1" s="1"/>
  <c r="L192" i="1"/>
  <c r="M191" i="1"/>
  <c r="AA53" i="1" l="1"/>
  <c r="Z54" i="1"/>
  <c r="Y54" i="1"/>
  <c r="X55" i="1"/>
  <c r="V79" i="1"/>
  <c r="W79" i="1" s="1"/>
  <c r="L193" i="1"/>
  <c r="M192" i="1"/>
  <c r="Y55" i="1" l="1"/>
  <c r="X56" i="1"/>
  <c r="AA54" i="1"/>
  <c r="Z55" i="1"/>
  <c r="V80" i="1"/>
  <c r="W80" i="1" s="1"/>
  <c r="L194" i="1"/>
  <c r="M193" i="1"/>
  <c r="AA55" i="1" l="1"/>
  <c r="Z56" i="1"/>
  <c r="Y56" i="1"/>
  <c r="X57" i="1"/>
  <c r="V81" i="1"/>
  <c r="W81" i="1" s="1"/>
  <c r="L195" i="1"/>
  <c r="M194" i="1"/>
  <c r="Y57" i="1" l="1"/>
  <c r="X58" i="1"/>
  <c r="AA56" i="1"/>
  <c r="Z57" i="1"/>
  <c r="V82" i="1"/>
  <c r="W82" i="1" s="1"/>
  <c r="L196" i="1"/>
  <c r="M195" i="1"/>
  <c r="AA57" i="1" l="1"/>
  <c r="Z58" i="1"/>
  <c r="Y58" i="1"/>
  <c r="X59" i="1"/>
  <c r="V83" i="1"/>
  <c r="W83" i="1" s="1"/>
  <c r="L197" i="1"/>
  <c r="M196" i="1"/>
  <c r="Y59" i="1" l="1"/>
  <c r="X60" i="1"/>
  <c r="AA58" i="1"/>
  <c r="Z59" i="1"/>
  <c r="V84" i="1"/>
  <c r="W84" i="1" s="1"/>
  <c r="L198" i="1"/>
  <c r="M197" i="1"/>
  <c r="AA59" i="1" l="1"/>
  <c r="Z60" i="1"/>
  <c r="Y60" i="1"/>
  <c r="X61" i="1"/>
  <c r="V85" i="1"/>
  <c r="W85" i="1" s="1"/>
  <c r="L199" i="1"/>
  <c r="M198" i="1"/>
  <c r="Y61" i="1" l="1"/>
  <c r="X62" i="1"/>
  <c r="AA60" i="1"/>
  <c r="Z61" i="1"/>
  <c r="V86" i="1"/>
  <c r="W86" i="1" s="1"/>
  <c r="L200" i="1"/>
  <c r="M199" i="1"/>
  <c r="AA61" i="1" l="1"/>
  <c r="Z62" i="1"/>
  <c r="Y62" i="1"/>
  <c r="X63" i="1"/>
  <c r="V87" i="1"/>
  <c r="W87" i="1" s="1"/>
  <c r="L201" i="1"/>
  <c r="M200" i="1"/>
  <c r="Y63" i="1" l="1"/>
  <c r="X64" i="1"/>
  <c r="AA62" i="1"/>
  <c r="Z63" i="1"/>
  <c r="V88" i="1"/>
  <c r="W88" i="1" s="1"/>
  <c r="L202" i="1"/>
  <c r="M201" i="1"/>
  <c r="AA63" i="1" l="1"/>
  <c r="Z64" i="1"/>
  <c r="Y64" i="1"/>
  <c r="X65" i="1"/>
  <c r="V89" i="1"/>
  <c r="W89" i="1" s="1"/>
  <c r="L203" i="1"/>
  <c r="M202" i="1"/>
  <c r="Y65" i="1" l="1"/>
  <c r="X66" i="1"/>
  <c r="AA64" i="1"/>
  <c r="Z65" i="1"/>
  <c r="V90" i="1"/>
  <c r="W90" i="1" s="1"/>
  <c r="L204" i="1"/>
  <c r="M203" i="1"/>
  <c r="AA65" i="1" l="1"/>
  <c r="Z66" i="1"/>
  <c r="Y66" i="1"/>
  <c r="X67" i="1"/>
  <c r="V91" i="1"/>
  <c r="W91" i="1" s="1"/>
  <c r="L205" i="1"/>
  <c r="M204" i="1"/>
  <c r="AA66" i="1" l="1"/>
  <c r="Z67" i="1"/>
  <c r="Y67" i="1"/>
  <c r="X68" i="1"/>
  <c r="V92" i="1"/>
  <c r="W92" i="1" s="1"/>
  <c r="L206" i="1"/>
  <c r="M205" i="1"/>
  <c r="Y68" i="1" l="1"/>
  <c r="X69" i="1"/>
  <c r="AA67" i="1"/>
  <c r="Z68" i="1"/>
  <c r="V93" i="1"/>
  <c r="W93" i="1" s="1"/>
  <c r="L207" i="1"/>
  <c r="M206" i="1"/>
  <c r="AA68" i="1" l="1"/>
  <c r="Z69" i="1"/>
  <c r="Y69" i="1"/>
  <c r="X70" i="1"/>
  <c r="V94" i="1"/>
  <c r="W94" i="1" s="1"/>
  <c r="L208" i="1"/>
  <c r="M207" i="1"/>
  <c r="Y70" i="1" l="1"/>
  <c r="X71" i="1"/>
  <c r="AA69" i="1"/>
  <c r="Z70" i="1"/>
  <c r="V95" i="1"/>
  <c r="W95" i="1" s="1"/>
  <c r="L209" i="1"/>
  <c r="M208" i="1"/>
  <c r="AA70" i="1" l="1"/>
  <c r="Z71" i="1"/>
  <c r="Y71" i="1"/>
  <c r="X72" i="1"/>
  <c r="L210" i="1"/>
  <c r="M209" i="1"/>
  <c r="Y72" i="1" l="1"/>
  <c r="X73" i="1"/>
  <c r="AA71" i="1"/>
  <c r="Z72" i="1"/>
  <c r="L211" i="1"/>
  <c r="M210" i="1"/>
  <c r="AA72" i="1" l="1"/>
  <c r="Z73" i="1"/>
  <c r="Y73" i="1"/>
  <c r="X74" i="1"/>
  <c r="L212" i="1"/>
  <c r="M211" i="1"/>
  <c r="AA73" i="1" l="1"/>
  <c r="Z74" i="1"/>
  <c r="Y74" i="1"/>
  <c r="X75" i="1"/>
  <c r="L213" i="1"/>
  <c r="M212" i="1"/>
  <c r="Y75" i="1" l="1"/>
  <c r="X76" i="1"/>
  <c r="AA74" i="1"/>
  <c r="Z75" i="1"/>
  <c r="L214" i="1"/>
  <c r="M213" i="1"/>
  <c r="AA75" i="1" l="1"/>
  <c r="Z76" i="1"/>
  <c r="Y76" i="1"/>
  <c r="X77" i="1"/>
  <c r="L215" i="1"/>
  <c r="M214" i="1"/>
  <c r="Y77" i="1" l="1"/>
  <c r="X78" i="1"/>
  <c r="AA76" i="1"/>
  <c r="Z77" i="1"/>
  <c r="L216" i="1"/>
  <c r="M215" i="1"/>
  <c r="AA77" i="1" l="1"/>
  <c r="Z78" i="1"/>
  <c r="Y78" i="1"/>
  <c r="X79" i="1"/>
  <c r="L217" i="1"/>
  <c r="M216" i="1"/>
  <c r="Y79" i="1" l="1"/>
  <c r="X80" i="1"/>
  <c r="AA78" i="1"/>
  <c r="Z79" i="1"/>
  <c r="L218" i="1"/>
  <c r="M217" i="1"/>
  <c r="AA79" i="1" l="1"/>
  <c r="Z80" i="1"/>
  <c r="Y80" i="1"/>
  <c r="X81" i="1"/>
  <c r="L219" i="1"/>
  <c r="M218" i="1"/>
  <c r="AA80" i="1" l="1"/>
  <c r="Z81" i="1"/>
  <c r="Y81" i="1"/>
  <c r="X82" i="1"/>
  <c r="L220" i="1"/>
  <c r="M219" i="1"/>
  <c r="Y82" i="1" l="1"/>
  <c r="X83" i="1"/>
  <c r="Y83" i="1" s="1"/>
  <c r="AA81" i="1"/>
  <c r="Z82" i="1"/>
  <c r="L221" i="1"/>
  <c r="M220" i="1"/>
  <c r="AA82" i="1" l="1"/>
  <c r="Z83" i="1"/>
  <c r="AA83" i="1" s="1"/>
  <c r="L222" i="1"/>
  <c r="M221" i="1"/>
  <c r="L223" i="1" l="1"/>
  <c r="M222" i="1"/>
  <c r="L224" i="1" l="1"/>
  <c r="M223" i="1"/>
  <c r="L225" i="1" l="1"/>
  <c r="M224" i="1"/>
  <c r="L226" i="1" l="1"/>
  <c r="M225" i="1"/>
  <c r="L227" i="1" l="1"/>
  <c r="M226" i="1"/>
  <c r="L228" i="1" l="1"/>
  <c r="M227" i="1"/>
  <c r="L229" i="1" l="1"/>
  <c r="M228" i="1"/>
  <c r="L230" i="1" l="1"/>
  <c r="M229" i="1"/>
  <c r="L231" i="1" l="1"/>
  <c r="M230" i="1"/>
  <c r="L232" i="1" l="1"/>
  <c r="M231" i="1"/>
  <c r="L233" i="1" l="1"/>
  <c r="M232" i="1"/>
  <c r="L234" i="1" l="1"/>
  <c r="M233" i="1"/>
  <c r="L235" i="1" l="1"/>
  <c r="M234" i="1"/>
  <c r="L236" i="1" l="1"/>
  <c r="M235" i="1"/>
  <c r="L237" i="1" l="1"/>
  <c r="M236" i="1"/>
  <c r="L238" i="1" l="1"/>
  <c r="M237" i="1"/>
  <c r="L239" i="1" l="1"/>
  <c r="M238" i="1"/>
  <c r="L240" i="1" l="1"/>
  <c r="M239" i="1"/>
  <c r="L241" i="1" l="1"/>
  <c r="M240" i="1"/>
  <c r="L242" i="1" l="1"/>
  <c r="M241" i="1"/>
  <c r="L243" i="1" l="1"/>
  <c r="M242" i="1"/>
  <c r="L244" i="1" l="1"/>
  <c r="M243" i="1"/>
  <c r="L245" i="1" l="1"/>
  <c r="M244" i="1"/>
  <c r="L246" i="1" l="1"/>
  <c r="M245" i="1"/>
  <c r="L247" i="1" l="1"/>
  <c r="M247" i="1" s="1"/>
  <c r="M246" i="1"/>
</calcChain>
</file>

<file path=xl/sharedStrings.xml><?xml version="1.0" encoding="utf-8"?>
<sst xmlns="http://schemas.openxmlformats.org/spreadsheetml/2006/main" count="26" uniqueCount="12">
  <si>
    <t>h, м</t>
  </si>
  <si>
    <t>α, град.</t>
  </si>
  <si>
    <r>
      <t>g, м/с</t>
    </r>
    <r>
      <rPr>
        <vertAlign val="superscript"/>
        <sz val="13"/>
        <color theme="1"/>
        <rFont val="Times New Roman"/>
        <family val="1"/>
        <charset val="204"/>
      </rPr>
      <t>2</t>
    </r>
  </si>
  <si>
    <r>
      <t>v</t>
    </r>
    <r>
      <rPr>
        <vertAlign val="subscript"/>
        <sz val="13"/>
        <color theme="1"/>
        <rFont val="Times New Roman"/>
        <family val="1"/>
        <charset val="204"/>
      </rPr>
      <t>0</t>
    </r>
    <r>
      <rPr>
        <sz val="13"/>
        <color theme="1"/>
        <rFont val="Times New Roman"/>
        <family val="1"/>
        <charset val="204"/>
      </rPr>
      <t>,</t>
    </r>
    <r>
      <rPr>
        <vertAlign val="subscript"/>
        <sz val="13"/>
        <color theme="1"/>
        <rFont val="Times New Roman"/>
        <family val="1"/>
        <charset val="204"/>
      </rPr>
      <t xml:space="preserve"> </t>
    </r>
    <r>
      <rPr>
        <sz val="13"/>
        <color theme="1"/>
        <rFont val="Times New Roman"/>
        <family val="1"/>
        <charset val="204"/>
      </rPr>
      <t>м/с</t>
    </r>
  </si>
  <si>
    <t>x, м</t>
  </si>
  <si>
    <t>s, м</t>
  </si>
  <si>
    <t>y, м</t>
  </si>
  <si>
    <t xml:space="preserve">Дальность максимальна (при заданной начальной скорости, высоте и </t>
  </si>
  <si>
    <t>ускорении свободного падения) тогда, когда максимален sin(2α),</t>
  </si>
  <si>
    <r>
      <t xml:space="preserve">т.е. при 45 градусах. Одинаковая дальность будет при углах </t>
    </r>
    <r>
      <rPr>
        <sz val="13"/>
        <color theme="1"/>
        <rFont val="Times New Roman"/>
        <family val="1"/>
        <charset val="204"/>
      </rPr>
      <t>α и (90 - α),</t>
    </r>
  </si>
  <si>
    <t>в одном случае траектория будет настильная, а в другом навесная.</t>
  </si>
  <si>
    <t>α0, град.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</si>
</sst>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3"/>
      <color theme="1"/>
      <name val="Times New Roman"/>
      <family val="2"/>
      <charset val="204"/>
    </font>
    <font>
      <vertAlign val="subscript"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  <font>
      <vertAlign val="superscript"/>
      <sz val="13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effectLst/>
              </a:rPr>
              <a:t>Траектория тела, брошенного под углом</a:t>
            </a:r>
            <a:r>
              <a:rPr lang="en-US" sz="1400" b="0" i="0" baseline="0">
                <a:effectLst/>
              </a:rPr>
              <a:t> 58°</a:t>
            </a:r>
            <a:r>
              <a:rPr lang="ru-RU" sz="1400" b="0" i="0" baseline="0">
                <a:effectLst/>
              </a:rPr>
              <a:t> к горизонту</a:t>
            </a:r>
            <a:endParaRPr lang="ru-RU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0.23231481481481481"/>
          <c:w val="0.85219685039370074"/>
          <c:h val="0.716759259259259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Лист1!$M$4</c:f>
              <c:strCache>
                <c:ptCount val="1"/>
                <c:pt idx="0">
                  <c:v>y, 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Лист1!$L$5:$L$248</c:f>
              <c:numCache>
                <c:formatCode>General</c:formatCode>
                <c:ptCount val="244"/>
                <c:pt idx="0">
                  <c:v>3711.7785289200197</c:v>
                </c:pt>
                <c:pt idx="1">
                  <c:v>3696.7785289200197</c:v>
                </c:pt>
                <c:pt idx="2">
                  <c:v>3681.7785289200197</c:v>
                </c:pt>
                <c:pt idx="3">
                  <c:v>3666.7785289200197</c:v>
                </c:pt>
                <c:pt idx="4">
                  <c:v>3651.7785289200197</c:v>
                </c:pt>
                <c:pt idx="5">
                  <c:v>3636.7785289200197</c:v>
                </c:pt>
                <c:pt idx="6">
                  <c:v>3621.7785289200197</c:v>
                </c:pt>
                <c:pt idx="7">
                  <c:v>3606.7785289200197</c:v>
                </c:pt>
                <c:pt idx="8">
                  <c:v>3591.7785289200197</c:v>
                </c:pt>
                <c:pt idx="9">
                  <c:v>3576.7785289200197</c:v>
                </c:pt>
                <c:pt idx="10">
                  <c:v>3561.7785289200197</c:v>
                </c:pt>
                <c:pt idx="11">
                  <c:v>3546.7785289200197</c:v>
                </c:pt>
                <c:pt idx="12">
                  <c:v>3531.7785289200197</c:v>
                </c:pt>
                <c:pt idx="13">
                  <c:v>3516.7785289200197</c:v>
                </c:pt>
                <c:pt idx="14">
                  <c:v>3501.7785289200197</c:v>
                </c:pt>
                <c:pt idx="15">
                  <c:v>3486.7785289200197</c:v>
                </c:pt>
                <c:pt idx="16">
                  <c:v>3471.7785289200197</c:v>
                </c:pt>
                <c:pt idx="17">
                  <c:v>3456.7785289200197</c:v>
                </c:pt>
                <c:pt idx="18">
                  <c:v>3441.7785289200197</c:v>
                </c:pt>
                <c:pt idx="19">
                  <c:v>3426.7785289200197</c:v>
                </c:pt>
                <c:pt idx="20">
                  <c:v>3411.7785289200197</c:v>
                </c:pt>
                <c:pt idx="21">
                  <c:v>3396.7785289200197</c:v>
                </c:pt>
                <c:pt idx="22">
                  <c:v>3381.7785289200197</c:v>
                </c:pt>
                <c:pt idx="23">
                  <c:v>3366.7785289200197</c:v>
                </c:pt>
                <c:pt idx="24">
                  <c:v>3351.7785289200197</c:v>
                </c:pt>
                <c:pt idx="25">
                  <c:v>3336.7785289200197</c:v>
                </c:pt>
                <c:pt idx="26">
                  <c:v>3321.7785289200197</c:v>
                </c:pt>
                <c:pt idx="27">
                  <c:v>3306.7785289200197</c:v>
                </c:pt>
                <c:pt idx="28">
                  <c:v>3291.7785289200197</c:v>
                </c:pt>
                <c:pt idx="29">
                  <c:v>3276.7785289200197</c:v>
                </c:pt>
                <c:pt idx="30">
                  <c:v>3261.7785289200197</c:v>
                </c:pt>
                <c:pt idx="31">
                  <c:v>3246.7785289200197</c:v>
                </c:pt>
                <c:pt idx="32">
                  <c:v>3231.7785289200197</c:v>
                </c:pt>
                <c:pt idx="33">
                  <c:v>3216.7785289200197</c:v>
                </c:pt>
                <c:pt idx="34">
                  <c:v>3201.7785289200197</c:v>
                </c:pt>
                <c:pt idx="35">
                  <c:v>3186.7785289200197</c:v>
                </c:pt>
                <c:pt idx="36">
                  <c:v>3171.7785289200197</c:v>
                </c:pt>
                <c:pt idx="37">
                  <c:v>3156.7785289200197</c:v>
                </c:pt>
                <c:pt idx="38">
                  <c:v>3141.7785289200197</c:v>
                </c:pt>
                <c:pt idx="39">
                  <c:v>3126.7785289200197</c:v>
                </c:pt>
                <c:pt idx="40">
                  <c:v>3111.7785289200197</c:v>
                </c:pt>
                <c:pt idx="41">
                  <c:v>3096.7785289200197</c:v>
                </c:pt>
                <c:pt idx="42">
                  <c:v>3081.7785289200197</c:v>
                </c:pt>
                <c:pt idx="43">
                  <c:v>3066.7785289200197</c:v>
                </c:pt>
                <c:pt idx="44">
                  <c:v>3051.7785289200197</c:v>
                </c:pt>
                <c:pt idx="45">
                  <c:v>3036.7785289200197</c:v>
                </c:pt>
                <c:pt idx="46">
                  <c:v>3021.7785289200197</c:v>
                </c:pt>
                <c:pt idx="47">
                  <c:v>3006.7785289200197</c:v>
                </c:pt>
                <c:pt idx="48">
                  <c:v>2991.7785289200197</c:v>
                </c:pt>
                <c:pt idx="49">
                  <c:v>2976.7785289200197</c:v>
                </c:pt>
                <c:pt idx="50">
                  <c:v>2961.7785289200197</c:v>
                </c:pt>
                <c:pt idx="51">
                  <c:v>2946.7785289200197</c:v>
                </c:pt>
                <c:pt idx="52">
                  <c:v>2931.7785289200197</c:v>
                </c:pt>
                <c:pt idx="53">
                  <c:v>2916.7785289200197</c:v>
                </c:pt>
                <c:pt idx="54">
                  <c:v>2901.7785289200197</c:v>
                </c:pt>
                <c:pt idx="55">
                  <c:v>2886.7785289200197</c:v>
                </c:pt>
                <c:pt idx="56">
                  <c:v>2871.7785289200197</c:v>
                </c:pt>
                <c:pt idx="57">
                  <c:v>2856.7785289200197</c:v>
                </c:pt>
                <c:pt idx="58">
                  <c:v>2841.7785289200197</c:v>
                </c:pt>
                <c:pt idx="59">
                  <c:v>2826.7785289200197</c:v>
                </c:pt>
                <c:pt idx="60">
                  <c:v>2811.7785289200197</c:v>
                </c:pt>
                <c:pt idx="61">
                  <c:v>2796.7785289200197</c:v>
                </c:pt>
                <c:pt idx="62">
                  <c:v>2781.7785289200197</c:v>
                </c:pt>
                <c:pt idx="63">
                  <c:v>2766.7785289200197</c:v>
                </c:pt>
                <c:pt idx="64">
                  <c:v>2751.7785289200197</c:v>
                </c:pt>
                <c:pt idx="65">
                  <c:v>2736.7785289200197</c:v>
                </c:pt>
                <c:pt idx="66">
                  <c:v>2721.7785289200197</c:v>
                </c:pt>
                <c:pt idx="67">
                  <c:v>2706.7785289200197</c:v>
                </c:pt>
                <c:pt idx="68">
                  <c:v>2691.7785289200197</c:v>
                </c:pt>
                <c:pt idx="69">
                  <c:v>2676.7785289200197</c:v>
                </c:pt>
                <c:pt idx="70">
                  <c:v>2661.7785289200197</c:v>
                </c:pt>
                <c:pt idx="71">
                  <c:v>2646.7785289200197</c:v>
                </c:pt>
                <c:pt idx="72">
                  <c:v>2631.7785289200197</c:v>
                </c:pt>
                <c:pt idx="73">
                  <c:v>2616.7785289200197</c:v>
                </c:pt>
                <c:pt idx="74">
                  <c:v>2601.7785289200197</c:v>
                </c:pt>
                <c:pt idx="75">
                  <c:v>2586.7785289200197</c:v>
                </c:pt>
                <c:pt idx="76">
                  <c:v>2571.7785289200197</c:v>
                </c:pt>
                <c:pt idx="77">
                  <c:v>2556.7785289200197</c:v>
                </c:pt>
                <c:pt idx="78">
                  <c:v>2541.7785289200197</c:v>
                </c:pt>
                <c:pt idx="79">
                  <c:v>2526.7785289200197</c:v>
                </c:pt>
                <c:pt idx="80">
                  <c:v>2511.7785289200197</c:v>
                </c:pt>
                <c:pt idx="81">
                  <c:v>2496.7785289200197</c:v>
                </c:pt>
                <c:pt idx="82">
                  <c:v>2481.7785289200197</c:v>
                </c:pt>
                <c:pt idx="83">
                  <c:v>2466.7785289200197</c:v>
                </c:pt>
                <c:pt idx="84">
                  <c:v>2451.7785289200197</c:v>
                </c:pt>
                <c:pt idx="85">
                  <c:v>2436.7785289200197</c:v>
                </c:pt>
                <c:pt idx="86">
                  <c:v>2421.7785289200197</c:v>
                </c:pt>
                <c:pt idx="87">
                  <c:v>2406.7785289200197</c:v>
                </c:pt>
                <c:pt idx="88">
                  <c:v>2391.7785289200197</c:v>
                </c:pt>
                <c:pt idx="89">
                  <c:v>2376.7785289200197</c:v>
                </c:pt>
                <c:pt idx="90">
                  <c:v>2361.7785289200197</c:v>
                </c:pt>
                <c:pt idx="91">
                  <c:v>2346.7785289200197</c:v>
                </c:pt>
                <c:pt idx="92">
                  <c:v>2331.7785289200197</c:v>
                </c:pt>
                <c:pt idx="93">
                  <c:v>2316.7785289200197</c:v>
                </c:pt>
                <c:pt idx="94">
                  <c:v>2301.7785289200197</c:v>
                </c:pt>
                <c:pt idx="95">
                  <c:v>2286.7785289200197</c:v>
                </c:pt>
                <c:pt idx="96">
                  <c:v>2271.7785289200197</c:v>
                </c:pt>
                <c:pt idx="97">
                  <c:v>2256.7785289200197</c:v>
                </c:pt>
                <c:pt idx="98">
                  <c:v>2241.7785289200197</c:v>
                </c:pt>
                <c:pt idx="99">
                  <c:v>2226.7785289200197</c:v>
                </c:pt>
                <c:pt idx="100">
                  <c:v>2211.7785289200197</c:v>
                </c:pt>
                <c:pt idx="101">
                  <c:v>2196.7785289200197</c:v>
                </c:pt>
                <c:pt idx="102">
                  <c:v>2181.7785289200197</c:v>
                </c:pt>
                <c:pt idx="103">
                  <c:v>2166.7785289200197</c:v>
                </c:pt>
                <c:pt idx="104">
                  <c:v>2151.7785289200197</c:v>
                </c:pt>
                <c:pt idx="105">
                  <c:v>2136.7785289200197</c:v>
                </c:pt>
                <c:pt idx="106">
                  <c:v>2121.7785289200197</c:v>
                </c:pt>
                <c:pt idx="107">
                  <c:v>2106.7785289200197</c:v>
                </c:pt>
                <c:pt idx="108">
                  <c:v>2091.7785289200197</c:v>
                </c:pt>
                <c:pt idx="109">
                  <c:v>2076.7785289200197</c:v>
                </c:pt>
                <c:pt idx="110">
                  <c:v>2061.7785289200197</c:v>
                </c:pt>
                <c:pt idx="111">
                  <c:v>2046.7785289200197</c:v>
                </c:pt>
                <c:pt idx="112">
                  <c:v>2031.7785289200197</c:v>
                </c:pt>
                <c:pt idx="113">
                  <c:v>2016.7785289200197</c:v>
                </c:pt>
                <c:pt idx="114">
                  <c:v>2001.7785289200197</c:v>
                </c:pt>
                <c:pt idx="115">
                  <c:v>1986.7785289200197</c:v>
                </c:pt>
                <c:pt idx="116">
                  <c:v>1971.7785289200197</c:v>
                </c:pt>
                <c:pt idx="117">
                  <c:v>1956.7785289200197</c:v>
                </c:pt>
                <c:pt idx="118">
                  <c:v>1941.7785289200197</c:v>
                </c:pt>
                <c:pt idx="119">
                  <c:v>1926.7785289200197</c:v>
                </c:pt>
                <c:pt idx="120">
                  <c:v>1911.7785289200197</c:v>
                </c:pt>
                <c:pt idx="121">
                  <c:v>1896.7785289200197</c:v>
                </c:pt>
                <c:pt idx="122">
                  <c:v>1881.7785289200197</c:v>
                </c:pt>
                <c:pt idx="123">
                  <c:v>1866.7785289200197</c:v>
                </c:pt>
                <c:pt idx="124">
                  <c:v>1851.7785289200197</c:v>
                </c:pt>
                <c:pt idx="125">
                  <c:v>1836.7785289200197</c:v>
                </c:pt>
                <c:pt idx="126">
                  <c:v>1821.7785289200197</c:v>
                </c:pt>
                <c:pt idx="127">
                  <c:v>1806.7785289200197</c:v>
                </c:pt>
                <c:pt idx="128">
                  <c:v>1791.7785289200197</c:v>
                </c:pt>
                <c:pt idx="129">
                  <c:v>1776.7785289200197</c:v>
                </c:pt>
                <c:pt idx="130">
                  <c:v>1761.7785289200197</c:v>
                </c:pt>
                <c:pt idx="131">
                  <c:v>1746.7785289200197</c:v>
                </c:pt>
                <c:pt idx="132">
                  <c:v>1731.7785289200197</c:v>
                </c:pt>
                <c:pt idx="133">
                  <c:v>1716.7785289200197</c:v>
                </c:pt>
                <c:pt idx="134">
                  <c:v>1701.7785289200197</c:v>
                </c:pt>
                <c:pt idx="135">
                  <c:v>1686.7785289200197</c:v>
                </c:pt>
                <c:pt idx="136">
                  <c:v>1671.7785289200197</c:v>
                </c:pt>
                <c:pt idx="137">
                  <c:v>1656.7785289200197</c:v>
                </c:pt>
                <c:pt idx="138">
                  <c:v>1641.7785289200197</c:v>
                </c:pt>
                <c:pt idx="139">
                  <c:v>1626.7785289200197</c:v>
                </c:pt>
                <c:pt idx="140">
                  <c:v>1611.7785289200197</c:v>
                </c:pt>
                <c:pt idx="141">
                  <c:v>1596.7785289200197</c:v>
                </c:pt>
                <c:pt idx="142">
                  <c:v>1581.7785289200197</c:v>
                </c:pt>
                <c:pt idx="143">
                  <c:v>1566.7785289200197</c:v>
                </c:pt>
                <c:pt idx="144">
                  <c:v>1551.7785289200197</c:v>
                </c:pt>
                <c:pt idx="145">
                  <c:v>1536.7785289200197</c:v>
                </c:pt>
                <c:pt idx="146">
                  <c:v>1521.7785289200197</c:v>
                </c:pt>
                <c:pt idx="147">
                  <c:v>1506.7785289200197</c:v>
                </c:pt>
                <c:pt idx="148">
                  <c:v>1491.7785289200197</c:v>
                </c:pt>
                <c:pt idx="149">
                  <c:v>1476.7785289200197</c:v>
                </c:pt>
                <c:pt idx="150">
                  <c:v>1461.7785289200197</c:v>
                </c:pt>
                <c:pt idx="151">
                  <c:v>1446.7785289200197</c:v>
                </c:pt>
                <c:pt idx="152">
                  <c:v>1431.7785289200197</c:v>
                </c:pt>
                <c:pt idx="153">
                  <c:v>1416.7785289200197</c:v>
                </c:pt>
                <c:pt idx="154">
                  <c:v>1401.7785289200197</c:v>
                </c:pt>
                <c:pt idx="155">
                  <c:v>1386.7785289200197</c:v>
                </c:pt>
                <c:pt idx="156">
                  <c:v>1371.7785289200197</c:v>
                </c:pt>
                <c:pt idx="157">
                  <c:v>1356.7785289200197</c:v>
                </c:pt>
                <c:pt idx="158">
                  <c:v>1341.7785289200197</c:v>
                </c:pt>
                <c:pt idx="159">
                  <c:v>1326.7785289200197</c:v>
                </c:pt>
                <c:pt idx="160">
                  <c:v>1311.7785289200197</c:v>
                </c:pt>
                <c:pt idx="161">
                  <c:v>1296.7785289200197</c:v>
                </c:pt>
                <c:pt idx="162">
                  <c:v>1281.7785289200197</c:v>
                </c:pt>
                <c:pt idx="163">
                  <c:v>1266.7785289200197</c:v>
                </c:pt>
                <c:pt idx="164">
                  <c:v>1251.7785289200197</c:v>
                </c:pt>
                <c:pt idx="165">
                  <c:v>1236.7785289200197</c:v>
                </c:pt>
                <c:pt idx="166">
                  <c:v>1221.7785289200197</c:v>
                </c:pt>
                <c:pt idx="167">
                  <c:v>1206.7785289200197</c:v>
                </c:pt>
                <c:pt idx="168">
                  <c:v>1191.7785289200197</c:v>
                </c:pt>
                <c:pt idx="169">
                  <c:v>1176.7785289200197</c:v>
                </c:pt>
                <c:pt idx="170">
                  <c:v>1161.7785289200197</c:v>
                </c:pt>
                <c:pt idx="171">
                  <c:v>1146.7785289200197</c:v>
                </c:pt>
                <c:pt idx="172">
                  <c:v>1131.7785289200197</c:v>
                </c:pt>
                <c:pt idx="173">
                  <c:v>1116.7785289200197</c:v>
                </c:pt>
                <c:pt idx="174">
                  <c:v>1101.7785289200197</c:v>
                </c:pt>
                <c:pt idx="175">
                  <c:v>1086.7785289200197</c:v>
                </c:pt>
                <c:pt idx="176">
                  <c:v>1071.7785289200197</c:v>
                </c:pt>
                <c:pt idx="177">
                  <c:v>1056.7785289200197</c:v>
                </c:pt>
                <c:pt idx="178">
                  <c:v>1041.7785289200197</c:v>
                </c:pt>
                <c:pt idx="179">
                  <c:v>1026.7785289200197</c:v>
                </c:pt>
                <c:pt idx="180">
                  <c:v>1011.7785289200197</c:v>
                </c:pt>
                <c:pt idx="181">
                  <c:v>996.77852892001965</c:v>
                </c:pt>
                <c:pt idx="182">
                  <c:v>981.77852892001965</c:v>
                </c:pt>
                <c:pt idx="183">
                  <c:v>966.77852892001965</c:v>
                </c:pt>
                <c:pt idx="184">
                  <c:v>951.77852892001965</c:v>
                </c:pt>
                <c:pt idx="185">
                  <c:v>936.77852892001965</c:v>
                </c:pt>
                <c:pt idx="186">
                  <c:v>921.77852892001965</c:v>
                </c:pt>
                <c:pt idx="187">
                  <c:v>906.77852892001965</c:v>
                </c:pt>
                <c:pt idx="188">
                  <c:v>891.77852892001965</c:v>
                </c:pt>
                <c:pt idx="189">
                  <c:v>876.77852892001965</c:v>
                </c:pt>
                <c:pt idx="190">
                  <c:v>861.77852892001965</c:v>
                </c:pt>
                <c:pt idx="191">
                  <c:v>846.77852892001965</c:v>
                </c:pt>
                <c:pt idx="192">
                  <c:v>831.77852892001965</c:v>
                </c:pt>
                <c:pt idx="193">
                  <c:v>816.77852892001965</c:v>
                </c:pt>
                <c:pt idx="194">
                  <c:v>801.77852892001965</c:v>
                </c:pt>
                <c:pt idx="195">
                  <c:v>786.77852892001965</c:v>
                </c:pt>
                <c:pt idx="196">
                  <c:v>771.77852892001965</c:v>
                </c:pt>
                <c:pt idx="197">
                  <c:v>756.77852892001965</c:v>
                </c:pt>
                <c:pt idx="198">
                  <c:v>741.77852892001965</c:v>
                </c:pt>
                <c:pt idx="199">
                  <c:v>726.77852892001965</c:v>
                </c:pt>
                <c:pt idx="200">
                  <c:v>711.77852892001965</c:v>
                </c:pt>
                <c:pt idx="201">
                  <c:v>696.77852892001965</c:v>
                </c:pt>
                <c:pt idx="202">
                  <c:v>681.77852892001965</c:v>
                </c:pt>
                <c:pt idx="203">
                  <c:v>666.77852892001965</c:v>
                </c:pt>
                <c:pt idx="204">
                  <c:v>651.77852892001965</c:v>
                </c:pt>
                <c:pt idx="205">
                  <c:v>636.77852892001965</c:v>
                </c:pt>
                <c:pt idx="206">
                  <c:v>621.77852892001965</c:v>
                </c:pt>
                <c:pt idx="207">
                  <c:v>606.77852892001965</c:v>
                </c:pt>
                <c:pt idx="208">
                  <c:v>591.77852892001965</c:v>
                </c:pt>
                <c:pt idx="209">
                  <c:v>576.77852892001965</c:v>
                </c:pt>
                <c:pt idx="210">
                  <c:v>561.77852892001965</c:v>
                </c:pt>
                <c:pt idx="211">
                  <c:v>546.77852892001965</c:v>
                </c:pt>
                <c:pt idx="212">
                  <c:v>531.77852892001965</c:v>
                </c:pt>
                <c:pt idx="213">
                  <c:v>516.77852892001965</c:v>
                </c:pt>
                <c:pt idx="214">
                  <c:v>501.77852892001965</c:v>
                </c:pt>
                <c:pt idx="215">
                  <c:v>486.77852892001965</c:v>
                </c:pt>
                <c:pt idx="216">
                  <c:v>471.77852892001965</c:v>
                </c:pt>
                <c:pt idx="217">
                  <c:v>456.77852892001965</c:v>
                </c:pt>
                <c:pt idx="218">
                  <c:v>441.77852892001965</c:v>
                </c:pt>
                <c:pt idx="219">
                  <c:v>426.77852892001965</c:v>
                </c:pt>
                <c:pt idx="220">
                  <c:v>411.77852892001965</c:v>
                </c:pt>
                <c:pt idx="221">
                  <c:v>396.77852892001965</c:v>
                </c:pt>
                <c:pt idx="222">
                  <c:v>381.77852892001965</c:v>
                </c:pt>
                <c:pt idx="223">
                  <c:v>366.77852892001965</c:v>
                </c:pt>
                <c:pt idx="224">
                  <c:v>351.77852892001965</c:v>
                </c:pt>
                <c:pt idx="225">
                  <c:v>336.77852892001965</c:v>
                </c:pt>
                <c:pt idx="226">
                  <c:v>321.77852892001965</c:v>
                </c:pt>
                <c:pt idx="227">
                  <c:v>306.77852892001965</c:v>
                </c:pt>
                <c:pt idx="228">
                  <c:v>291.77852892001965</c:v>
                </c:pt>
                <c:pt idx="229">
                  <c:v>276.77852892001965</c:v>
                </c:pt>
                <c:pt idx="230">
                  <c:v>261.77852892001965</c:v>
                </c:pt>
                <c:pt idx="231">
                  <c:v>246.77852892001965</c:v>
                </c:pt>
                <c:pt idx="232">
                  <c:v>231.77852892001965</c:v>
                </c:pt>
                <c:pt idx="233">
                  <c:v>216.77852892001965</c:v>
                </c:pt>
                <c:pt idx="234">
                  <c:v>201.77852892001965</c:v>
                </c:pt>
                <c:pt idx="235">
                  <c:v>186.77852892001965</c:v>
                </c:pt>
                <c:pt idx="236">
                  <c:v>171.77852892001965</c:v>
                </c:pt>
                <c:pt idx="237">
                  <c:v>156.77852892001965</c:v>
                </c:pt>
                <c:pt idx="238">
                  <c:v>141.77852892001965</c:v>
                </c:pt>
                <c:pt idx="239">
                  <c:v>126.77852892001965</c:v>
                </c:pt>
                <c:pt idx="240">
                  <c:v>111.77852892001965</c:v>
                </c:pt>
                <c:pt idx="241">
                  <c:v>96.778528920019653</c:v>
                </c:pt>
                <c:pt idx="242">
                  <c:v>81.778528920019653</c:v>
                </c:pt>
                <c:pt idx="243">
                  <c:v>0</c:v>
                </c:pt>
              </c:numCache>
            </c:numRef>
          </c:xVal>
          <c:yVal>
            <c:numRef>
              <c:f>Лист1!$M$5:$M$248</c:f>
              <c:numCache>
                <c:formatCode>General</c:formatCode>
                <c:ptCount val="244"/>
                <c:pt idx="0">
                  <c:v>-70</c:v>
                </c:pt>
                <c:pt idx="1">
                  <c:v>-45.527367558673177</c:v>
                </c:pt>
                <c:pt idx="2">
                  <c:v>-21.251039134438543</c:v>
                </c:pt>
                <c:pt idx="3">
                  <c:v>2.8289852727039033</c:v>
                </c:pt>
                <c:pt idx="4">
                  <c:v>26.712705662754161</c:v>
                </c:pt>
                <c:pt idx="5">
                  <c:v>50.400122035714048</c:v>
                </c:pt>
                <c:pt idx="6">
                  <c:v>73.891234391580838</c:v>
                </c:pt>
                <c:pt idx="7">
                  <c:v>97.186042730356348</c:v>
                </c:pt>
                <c:pt idx="8">
                  <c:v>120.28454705204149</c:v>
                </c:pt>
                <c:pt idx="9">
                  <c:v>143.18674735663262</c:v>
                </c:pt>
                <c:pt idx="10">
                  <c:v>165.89264364413248</c:v>
                </c:pt>
                <c:pt idx="11">
                  <c:v>188.40223591454014</c:v>
                </c:pt>
                <c:pt idx="12">
                  <c:v>210.71552416785653</c:v>
                </c:pt>
                <c:pt idx="13">
                  <c:v>232.83250840407982</c:v>
                </c:pt>
                <c:pt idx="14">
                  <c:v>254.75318862321274</c:v>
                </c:pt>
                <c:pt idx="15">
                  <c:v>276.47756482525347</c:v>
                </c:pt>
                <c:pt idx="16">
                  <c:v>298.00563701020201</c:v>
                </c:pt>
                <c:pt idx="17">
                  <c:v>319.33740517805836</c:v>
                </c:pt>
                <c:pt idx="18">
                  <c:v>340.47286932882253</c:v>
                </c:pt>
                <c:pt idx="19">
                  <c:v>361.41202946249632</c:v>
                </c:pt>
                <c:pt idx="20">
                  <c:v>382.15488557907702</c:v>
                </c:pt>
                <c:pt idx="21">
                  <c:v>402.70143767856644</c:v>
                </c:pt>
                <c:pt idx="22">
                  <c:v>423.05168576096457</c:v>
                </c:pt>
                <c:pt idx="23">
                  <c:v>443.20562982626961</c:v>
                </c:pt>
                <c:pt idx="24">
                  <c:v>463.16326987448338</c:v>
                </c:pt>
                <c:pt idx="25">
                  <c:v>482.92460590560495</c:v>
                </c:pt>
                <c:pt idx="26">
                  <c:v>502.48963791963524</c:v>
                </c:pt>
                <c:pt idx="27">
                  <c:v>521.85836591657335</c:v>
                </c:pt>
                <c:pt idx="28">
                  <c:v>541.03078989641926</c:v>
                </c:pt>
                <c:pt idx="29">
                  <c:v>560.00690985917299</c:v>
                </c:pt>
                <c:pt idx="30">
                  <c:v>578.78672580483635</c:v>
                </c:pt>
                <c:pt idx="31">
                  <c:v>597.37023773340661</c:v>
                </c:pt>
                <c:pt idx="32">
                  <c:v>615.75744564488468</c:v>
                </c:pt>
                <c:pt idx="33">
                  <c:v>633.94834953927329</c:v>
                </c:pt>
                <c:pt idx="34">
                  <c:v>651.9429494165679</c:v>
                </c:pt>
                <c:pt idx="35">
                  <c:v>669.74124527677122</c:v>
                </c:pt>
                <c:pt idx="36">
                  <c:v>687.34323711988236</c:v>
                </c:pt>
                <c:pt idx="37">
                  <c:v>704.74892494590222</c:v>
                </c:pt>
                <c:pt idx="38">
                  <c:v>721.95830875482989</c:v>
                </c:pt>
                <c:pt idx="39">
                  <c:v>738.97138854666537</c:v>
                </c:pt>
                <c:pt idx="40">
                  <c:v>755.78816432140957</c:v>
                </c:pt>
                <c:pt idx="41">
                  <c:v>772.40863607906158</c:v>
                </c:pt>
                <c:pt idx="42">
                  <c:v>788.8328038196214</c:v>
                </c:pt>
                <c:pt idx="43">
                  <c:v>805.06066754308995</c:v>
                </c:pt>
                <c:pt idx="44">
                  <c:v>821.0922272494663</c:v>
                </c:pt>
                <c:pt idx="45">
                  <c:v>836.92748293875093</c:v>
                </c:pt>
                <c:pt idx="46">
                  <c:v>852.56643461094336</c:v>
                </c:pt>
                <c:pt idx="47">
                  <c:v>868.00908226604452</c:v>
                </c:pt>
                <c:pt idx="48">
                  <c:v>883.25542590405348</c:v>
                </c:pt>
                <c:pt idx="49">
                  <c:v>898.30546552497026</c:v>
                </c:pt>
                <c:pt idx="50">
                  <c:v>913.1592011287953</c:v>
                </c:pt>
                <c:pt idx="51">
                  <c:v>927.81663271552952</c:v>
                </c:pt>
                <c:pt idx="52">
                  <c:v>942.27776028517064</c:v>
                </c:pt>
                <c:pt idx="53">
                  <c:v>956.54258383772003</c:v>
                </c:pt>
                <c:pt idx="54">
                  <c:v>970.61110337317768</c:v>
                </c:pt>
                <c:pt idx="55">
                  <c:v>984.48331889154406</c:v>
                </c:pt>
                <c:pt idx="56">
                  <c:v>998.15923039281824</c:v>
                </c:pt>
                <c:pt idx="57">
                  <c:v>1011.6388378770012</c:v>
                </c:pt>
                <c:pt idx="58">
                  <c:v>1024.9221413440914</c:v>
                </c:pt>
                <c:pt idx="59">
                  <c:v>1038.0091407940899</c:v>
                </c:pt>
                <c:pt idx="60">
                  <c:v>1050.8998362269963</c:v>
                </c:pt>
                <c:pt idx="61">
                  <c:v>1063.5942276428113</c:v>
                </c:pt>
                <c:pt idx="62">
                  <c:v>1076.0923150415342</c:v>
                </c:pt>
                <c:pt idx="63">
                  <c:v>1088.3940984231654</c:v>
                </c:pt>
                <c:pt idx="64">
                  <c:v>1100.4995777877048</c:v>
                </c:pt>
                <c:pt idx="65">
                  <c:v>1112.408753135152</c:v>
                </c:pt>
                <c:pt idx="66">
                  <c:v>1124.1216244655075</c:v>
                </c:pt>
                <c:pt idx="67">
                  <c:v>1135.6381917787708</c:v>
                </c:pt>
                <c:pt idx="68">
                  <c:v>1146.9584550749428</c:v>
                </c:pt>
                <c:pt idx="69">
                  <c:v>1158.0824143540221</c:v>
                </c:pt>
                <c:pt idx="70">
                  <c:v>1169.0100696160102</c:v>
                </c:pt>
                <c:pt idx="71">
                  <c:v>1179.7414208609061</c:v>
                </c:pt>
                <c:pt idx="72">
                  <c:v>1190.2764680887108</c:v>
                </c:pt>
                <c:pt idx="73">
                  <c:v>1200.6152112994232</c:v>
                </c:pt>
                <c:pt idx="74">
                  <c:v>1210.7576504930439</c:v>
                </c:pt>
                <c:pt idx="75">
                  <c:v>1220.7037856695724</c:v>
                </c:pt>
                <c:pt idx="76">
                  <c:v>1230.4536168290092</c:v>
                </c:pt>
                <c:pt idx="77">
                  <c:v>1240.0071439713547</c:v>
                </c:pt>
                <c:pt idx="78">
                  <c:v>1249.3643670966076</c:v>
                </c:pt>
                <c:pt idx="79">
                  <c:v>1258.5252862047691</c:v>
                </c:pt>
                <c:pt idx="80">
                  <c:v>1267.4899012958385</c:v>
                </c:pt>
                <c:pt idx="81">
                  <c:v>1276.2582123698157</c:v>
                </c:pt>
                <c:pt idx="82">
                  <c:v>1284.8302194267017</c:v>
                </c:pt>
                <c:pt idx="83">
                  <c:v>1293.2059224664954</c:v>
                </c:pt>
                <c:pt idx="84">
                  <c:v>1301.3853214891974</c:v>
                </c:pt>
                <c:pt idx="85">
                  <c:v>1309.3684164948072</c:v>
                </c:pt>
                <c:pt idx="86">
                  <c:v>1317.1552074833257</c:v>
                </c:pt>
                <c:pt idx="87">
                  <c:v>1324.7456944547516</c:v>
                </c:pt>
                <c:pt idx="88">
                  <c:v>1332.1398774090867</c:v>
                </c:pt>
                <c:pt idx="89">
                  <c:v>1339.3377563463296</c:v>
                </c:pt>
                <c:pt idx="90">
                  <c:v>1346.3393312664803</c:v>
                </c:pt>
                <c:pt idx="91">
                  <c:v>1353.1446021695392</c:v>
                </c:pt>
                <c:pt idx="92">
                  <c:v>1359.753569055506</c:v>
                </c:pt>
                <c:pt idx="93">
                  <c:v>1366.1662319243815</c:v>
                </c:pt>
                <c:pt idx="94">
                  <c:v>1372.3825907761643</c:v>
                </c:pt>
                <c:pt idx="95">
                  <c:v>1378.4026456108559</c:v>
                </c:pt>
                <c:pt idx="96">
                  <c:v>1384.2263964284552</c:v>
                </c:pt>
                <c:pt idx="97">
                  <c:v>1389.8538432289633</c:v>
                </c:pt>
                <c:pt idx="98">
                  <c:v>1395.2849860123792</c:v>
                </c:pt>
                <c:pt idx="99">
                  <c:v>1400.519824778703</c:v>
                </c:pt>
                <c:pt idx="100">
                  <c:v>1405.5583595279359</c:v>
                </c:pt>
                <c:pt idx="101">
                  <c:v>1410.4005902600757</c:v>
                </c:pt>
                <c:pt idx="102">
                  <c:v>1415.0465169751246</c:v>
                </c:pt>
                <c:pt idx="103">
                  <c:v>1419.496139673081</c:v>
                </c:pt>
                <c:pt idx="104">
                  <c:v>1423.7494583539456</c:v>
                </c:pt>
                <c:pt idx="105">
                  <c:v>1427.8064730177182</c:v>
                </c:pt>
                <c:pt idx="106">
                  <c:v>1431.6671836643993</c:v>
                </c:pt>
                <c:pt idx="107">
                  <c:v>1435.3315902939887</c:v>
                </c:pt>
                <c:pt idx="108">
                  <c:v>1438.7996929064857</c:v>
                </c:pt>
                <c:pt idx="109">
                  <c:v>1442.0714915018912</c:v>
                </c:pt>
                <c:pt idx="110">
                  <c:v>1445.1469860802044</c:v>
                </c:pt>
                <c:pt idx="111">
                  <c:v>1448.0261766414262</c:v>
                </c:pt>
                <c:pt idx="112">
                  <c:v>1450.709063185556</c:v>
                </c:pt>
                <c:pt idx="113">
                  <c:v>1453.1956457125943</c:v>
                </c:pt>
                <c:pt idx="114">
                  <c:v>1455.4859242225405</c:v>
                </c:pt>
                <c:pt idx="115">
                  <c:v>1457.5798987153946</c:v>
                </c:pt>
                <c:pt idx="116">
                  <c:v>1459.4775691911568</c:v>
                </c:pt>
                <c:pt idx="117">
                  <c:v>1461.1789356498273</c:v>
                </c:pt>
                <c:pt idx="118">
                  <c:v>1462.683998091406</c:v>
                </c:pt>
                <c:pt idx="119">
                  <c:v>1463.9927565158928</c:v>
                </c:pt>
                <c:pt idx="120">
                  <c:v>1465.1052109232876</c:v>
                </c:pt>
                <c:pt idx="121">
                  <c:v>1466.0213613135907</c:v>
                </c:pt>
                <c:pt idx="122">
                  <c:v>1466.7412076868018</c:v>
                </c:pt>
                <c:pt idx="123">
                  <c:v>1467.2647500429209</c:v>
                </c:pt>
                <c:pt idx="124">
                  <c:v>1467.5919883819483</c:v>
                </c:pt>
                <c:pt idx="125">
                  <c:v>1467.7229227038845</c:v>
                </c:pt>
                <c:pt idx="126">
                  <c:v>1467.657553008728</c:v>
                </c:pt>
                <c:pt idx="127">
                  <c:v>1467.3958792964802</c:v>
                </c:pt>
                <c:pt idx="128">
                  <c:v>1466.93790156714</c:v>
                </c:pt>
                <c:pt idx="129">
                  <c:v>1466.2836198207081</c:v>
                </c:pt>
                <c:pt idx="130">
                  <c:v>1465.4330340571844</c:v>
                </c:pt>
                <c:pt idx="131">
                  <c:v>1464.3861442765688</c:v>
                </c:pt>
                <c:pt idx="132">
                  <c:v>1463.1429504788612</c:v>
                </c:pt>
                <c:pt idx="133">
                  <c:v>1461.7034526640618</c:v>
                </c:pt>
                <c:pt idx="134">
                  <c:v>1460.0676508321708</c:v>
                </c:pt>
                <c:pt idx="135">
                  <c:v>1458.2355449831878</c:v>
                </c:pt>
                <c:pt idx="136">
                  <c:v>1456.2071351171128</c:v>
                </c:pt>
                <c:pt idx="137">
                  <c:v>1453.9824212339465</c:v>
                </c:pt>
                <c:pt idx="138">
                  <c:v>1451.5614033336878</c:v>
                </c:pt>
                <c:pt idx="139">
                  <c:v>1448.9440814163372</c:v>
                </c:pt>
                <c:pt idx="140">
                  <c:v>1446.1304554818948</c:v>
                </c:pt>
                <c:pt idx="141">
                  <c:v>1443.1205255303607</c:v>
                </c:pt>
                <c:pt idx="142">
                  <c:v>1439.9142915617344</c:v>
                </c:pt>
                <c:pt idx="143">
                  <c:v>1436.5117535760166</c:v>
                </c:pt>
                <c:pt idx="144">
                  <c:v>1432.9129115732069</c:v>
                </c:pt>
                <c:pt idx="145">
                  <c:v>1429.1177655533052</c:v>
                </c:pt>
                <c:pt idx="146">
                  <c:v>1425.1263155163115</c:v>
                </c:pt>
                <c:pt idx="147">
                  <c:v>1420.9385614622261</c:v>
                </c:pt>
                <c:pt idx="148">
                  <c:v>1416.5545033910489</c:v>
                </c:pt>
                <c:pt idx="149">
                  <c:v>1411.9741413027796</c:v>
                </c:pt>
                <c:pt idx="150">
                  <c:v>1407.1974751974192</c:v>
                </c:pt>
                <c:pt idx="151">
                  <c:v>1402.2245050749664</c:v>
                </c:pt>
                <c:pt idx="152">
                  <c:v>1397.0552309354216</c:v>
                </c:pt>
                <c:pt idx="153">
                  <c:v>1391.6896527787849</c:v>
                </c:pt>
                <c:pt idx="154">
                  <c:v>1386.1277706050566</c:v>
                </c:pt>
                <c:pt idx="155">
                  <c:v>1380.3695844142362</c:v>
                </c:pt>
                <c:pt idx="156">
                  <c:v>1374.4150942063243</c:v>
                </c:pt>
                <c:pt idx="157">
                  <c:v>1368.2642999813202</c:v>
                </c:pt>
                <c:pt idx="158">
                  <c:v>1361.9172017392243</c:v>
                </c:pt>
                <c:pt idx="159">
                  <c:v>1355.3737994800365</c:v>
                </c:pt>
                <c:pt idx="160">
                  <c:v>1348.6340932037569</c:v>
                </c:pt>
                <c:pt idx="161">
                  <c:v>1341.6980829103854</c:v>
                </c:pt>
                <c:pt idx="162">
                  <c:v>1334.5657685999226</c:v>
                </c:pt>
                <c:pt idx="163">
                  <c:v>1327.2371502723672</c:v>
                </c:pt>
                <c:pt idx="164">
                  <c:v>1319.7122279277201</c:v>
                </c:pt>
                <c:pt idx="165">
                  <c:v>1311.9910015659812</c:v>
                </c:pt>
                <c:pt idx="166">
                  <c:v>1304.0734711871505</c:v>
                </c:pt>
                <c:pt idx="167">
                  <c:v>1295.9596367912277</c:v>
                </c:pt>
                <c:pt idx="168">
                  <c:v>1287.6494983782131</c:v>
                </c:pt>
                <c:pt idx="169">
                  <c:v>1279.1430559481068</c:v>
                </c:pt>
                <c:pt idx="170">
                  <c:v>1270.4403095009086</c:v>
                </c:pt>
                <c:pt idx="171">
                  <c:v>1261.5412590366188</c:v>
                </c:pt>
                <c:pt idx="172">
                  <c:v>1252.4459045552367</c:v>
                </c:pt>
                <c:pt idx="173">
                  <c:v>1243.154246056763</c:v>
                </c:pt>
                <c:pt idx="174">
                  <c:v>1233.6662835411971</c:v>
                </c:pt>
                <c:pt idx="175">
                  <c:v>1223.9820170085397</c:v>
                </c:pt>
                <c:pt idx="176">
                  <c:v>1214.1014464587904</c:v>
                </c:pt>
                <c:pt idx="177">
                  <c:v>1204.0245718919491</c:v>
                </c:pt>
                <c:pt idx="178">
                  <c:v>1193.7513933080161</c:v>
                </c:pt>
                <c:pt idx="179">
                  <c:v>1183.2819107069911</c:v>
                </c:pt>
                <c:pt idx="180">
                  <c:v>1172.6161240888741</c:v>
                </c:pt>
                <c:pt idx="181">
                  <c:v>1161.7540334536654</c:v>
                </c:pt>
                <c:pt idx="182">
                  <c:v>1150.695638801365</c:v>
                </c:pt>
                <c:pt idx="183">
                  <c:v>1139.4409401319724</c:v>
                </c:pt>
                <c:pt idx="184">
                  <c:v>1127.9899374454885</c:v>
                </c:pt>
                <c:pt idx="185">
                  <c:v>1116.3426307419122</c:v>
                </c:pt>
                <c:pt idx="186">
                  <c:v>1104.4990200212442</c:v>
                </c:pt>
                <c:pt idx="187">
                  <c:v>1092.4591052834842</c:v>
                </c:pt>
                <c:pt idx="188">
                  <c:v>1080.2228865286324</c:v>
                </c:pt>
                <c:pt idx="189">
                  <c:v>1067.7903637566887</c:v>
                </c:pt>
                <c:pt idx="190">
                  <c:v>1055.1615369676535</c:v>
                </c:pt>
                <c:pt idx="191">
                  <c:v>1042.3364061615262</c:v>
                </c:pt>
                <c:pt idx="192">
                  <c:v>1029.314971338307</c:v>
                </c:pt>
                <c:pt idx="193">
                  <c:v>1016.0972324979959</c:v>
                </c:pt>
                <c:pt idx="194">
                  <c:v>1002.6831896405929</c:v>
                </c:pt>
                <c:pt idx="195">
                  <c:v>989.07284276609812</c:v>
                </c:pt>
                <c:pt idx="196">
                  <c:v>975.26619187451172</c:v>
                </c:pt>
                <c:pt idx="197">
                  <c:v>961.26323696583324</c:v>
                </c:pt>
                <c:pt idx="198">
                  <c:v>947.06397804006281</c:v>
                </c:pt>
                <c:pt idx="199">
                  <c:v>932.66841509720052</c:v>
                </c:pt>
                <c:pt idx="200">
                  <c:v>918.07654813724639</c:v>
                </c:pt>
                <c:pt idx="201">
                  <c:v>903.28837716020053</c:v>
                </c:pt>
                <c:pt idx="202">
                  <c:v>888.30390216606281</c:v>
                </c:pt>
                <c:pt idx="203">
                  <c:v>873.12312315483314</c:v>
                </c:pt>
                <c:pt idx="204">
                  <c:v>857.74604012651162</c:v>
                </c:pt>
                <c:pt idx="205">
                  <c:v>842.17265308109813</c:v>
                </c:pt>
                <c:pt idx="206">
                  <c:v>826.40296201859292</c:v>
                </c:pt>
                <c:pt idx="207">
                  <c:v>810.43696693899585</c:v>
                </c:pt>
                <c:pt idx="208">
                  <c:v>794.27466784230683</c:v>
                </c:pt>
                <c:pt idx="209">
                  <c:v>777.91606472852595</c:v>
                </c:pt>
                <c:pt idx="210">
                  <c:v>761.36115759765335</c:v>
                </c:pt>
                <c:pt idx="211">
                  <c:v>744.60994644968878</c:v>
                </c:pt>
                <c:pt idx="212">
                  <c:v>727.66243128463225</c:v>
                </c:pt>
                <c:pt idx="213">
                  <c:v>710.51861210248398</c:v>
                </c:pt>
                <c:pt idx="214">
                  <c:v>693.17848890324387</c:v>
                </c:pt>
                <c:pt idx="215">
                  <c:v>675.6420616869118</c:v>
                </c:pt>
                <c:pt idx="216">
                  <c:v>657.909330453488</c:v>
                </c:pt>
                <c:pt idx="217">
                  <c:v>639.98029520297223</c:v>
                </c:pt>
                <c:pt idx="218">
                  <c:v>621.85495593536461</c:v>
                </c:pt>
                <c:pt idx="219">
                  <c:v>603.53331265066515</c:v>
                </c:pt>
                <c:pt idx="220">
                  <c:v>585.01536534887384</c:v>
                </c:pt>
                <c:pt idx="221">
                  <c:v>566.30111402999057</c:v>
                </c:pt>
                <c:pt idx="222">
                  <c:v>547.39055869401557</c:v>
                </c:pt>
                <c:pt idx="223">
                  <c:v>528.2836993409486</c:v>
                </c:pt>
                <c:pt idx="224">
                  <c:v>508.98053597078984</c:v>
                </c:pt>
                <c:pt idx="225">
                  <c:v>489.48106858353924</c:v>
                </c:pt>
                <c:pt idx="226">
                  <c:v>469.78529717919673</c:v>
                </c:pt>
                <c:pt idx="227">
                  <c:v>449.89322175776232</c:v>
                </c:pt>
                <c:pt idx="228">
                  <c:v>429.80484231923612</c:v>
                </c:pt>
                <c:pt idx="229">
                  <c:v>409.52015886361806</c:v>
                </c:pt>
                <c:pt idx="230">
                  <c:v>389.03917139090805</c:v>
                </c:pt>
                <c:pt idx="231">
                  <c:v>368.36187990110625</c:v>
                </c:pt>
                <c:pt idx="232">
                  <c:v>347.4882843942126</c:v>
                </c:pt>
                <c:pt idx="233">
                  <c:v>326.41838487022704</c:v>
                </c:pt>
                <c:pt idx="234">
                  <c:v>305.15218132914964</c:v>
                </c:pt>
                <c:pt idx="235">
                  <c:v>283.68967377098039</c:v>
                </c:pt>
                <c:pt idx="236">
                  <c:v>262.03086219571924</c:v>
                </c:pt>
                <c:pt idx="237">
                  <c:v>240.17574660336626</c:v>
                </c:pt>
                <c:pt idx="238">
                  <c:v>218.12432699392141</c:v>
                </c:pt>
                <c:pt idx="239">
                  <c:v>195.87660336738469</c:v>
                </c:pt>
                <c:pt idx="240">
                  <c:v>173.43257572375612</c:v>
                </c:pt>
                <c:pt idx="241">
                  <c:v>150.79224406303567</c:v>
                </c:pt>
                <c:pt idx="242">
                  <c:v>127.95560838522337</c:v>
                </c:pt>
                <c:pt idx="24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5F-4FFB-8CF8-115DC9790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356319"/>
        <c:axId val="625357567"/>
      </c:scatterChart>
      <c:valAx>
        <c:axId val="62535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5357567"/>
        <c:crosses val="autoZero"/>
        <c:crossBetween val="midCat"/>
      </c:valAx>
      <c:valAx>
        <c:axId val="62535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535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дальности полета снаряда от угла к горизонту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Лист1!$B$4</c:f>
              <c:strCache>
                <c:ptCount val="1"/>
                <c:pt idx="0">
                  <c:v>s, 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Лист1!$A$5:$A$185</c:f>
              <c:numCache>
                <c:formatCode>General</c:formatCode>
                <c:ptCount val="18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</c:numCache>
            </c:numRef>
          </c:xVal>
          <c:yVal>
            <c:numRef>
              <c:f>Лист1!$B$5:$B$185</c:f>
              <c:numCache>
                <c:formatCode>General</c:formatCode>
                <c:ptCount val="181"/>
                <c:pt idx="0">
                  <c:v>755.92894601845444</c:v>
                </c:pt>
                <c:pt idx="1">
                  <c:v>830.38570068010154</c:v>
                </c:pt>
                <c:pt idx="2">
                  <c:v>911.12474270989799</c:v>
                </c:pt>
                <c:pt idx="3">
                  <c:v>997.77879104307681</c:v>
                </c:pt>
                <c:pt idx="4">
                  <c:v>1089.830190836851</c:v>
                </c:pt>
                <c:pt idx="5">
                  <c:v>1186.6556109886844</c:v>
                </c:pt>
                <c:pt idx="6">
                  <c:v>1287.5729411394827</c:v>
                </c:pt>
                <c:pt idx="7">
                  <c:v>1391.882533421438</c:v>
                </c:pt>
                <c:pt idx="8">
                  <c:v>1498.8985940116424</c:v>
                </c:pt>
                <c:pt idx="9">
                  <c:v>1607.9699372823356</c:v>
                </c:pt>
                <c:pt idx="10">
                  <c:v>1718.4914977476947</c:v>
                </c:pt>
                <c:pt idx="11">
                  <c:v>1829.908893193792</c:v>
                </c:pt>
                <c:pt idx="12">
                  <c:v>1941.7183474015617</c:v>
                </c:pt>
                <c:pt idx="13">
                  <c:v>2053.4638661271797</c:v>
                </c:pt>
                <c:pt idx="14">
                  <c:v>2164.7330346868371</c:v>
                </c:pt>
                <c:pt idx="15">
                  <c:v>2275.1523344115435</c:v>
                </c:pt>
                <c:pt idx="16">
                  <c:v>2384.3825152506556</c:v>
                </c:pt>
                <c:pt idx="17">
                  <c:v>2492.1143130404266</c:v>
                </c:pt>
                <c:pt idx="18">
                  <c:v>2598.0646406775595</c:v>
                </c:pt>
                <c:pt idx="19">
                  <c:v>2701.9732873110538</c:v>
                </c:pt>
                <c:pt idx="20">
                  <c:v>2803.6001071655778</c:v>
                </c:pt>
                <c:pt idx="21">
                  <c:v>2902.7226538208379</c:v>
                </c:pt>
                <c:pt idx="22">
                  <c:v>2999.1342058447417</c:v>
                </c:pt>
                <c:pt idx="23">
                  <c:v>3092.6421286228979</c:v>
                </c:pt>
                <c:pt idx="24">
                  <c:v>3183.0665207359589</c:v>
                </c:pt>
                <c:pt idx="25">
                  <c:v>3270.2390987650324</c:v>
                </c:pt>
                <c:pt idx="26">
                  <c:v>3354.002280519242</c:v>
                </c:pt>
                <c:pt idx="27">
                  <c:v>3434.2084326195613</c:v>
                </c:pt>
                <c:pt idx="28">
                  <c:v>3510.71925377762</c:v>
                </c:pt>
                <c:pt idx="29">
                  <c:v>3583.4052698414921</c:v>
                </c:pt>
                <c:pt idx="30">
                  <c:v>3652.1454207280563</c:v>
                </c:pt>
                <c:pt idx="31">
                  <c:v>3716.8267227696892</c:v>
                </c:pt>
                <c:pt idx="32">
                  <c:v>3777.3439928440584</c:v>
                </c:pt>
                <c:pt idx="33">
                  <c:v>3833.5996230085357</c:v>
                </c:pt>
                <c:pt idx="34">
                  <c:v>3885.503396301513</c:v>
                </c:pt>
                <c:pt idx="35">
                  <c:v>3932.9723359701202</c:v>
                </c:pt>
                <c:pt idx="36">
                  <c:v>3975.9305816973651</c:v>
                </c:pt>
                <c:pt idx="37">
                  <c:v>4014.3092874818426</c:v>
                </c:pt>
                <c:pt idx="38">
                  <c:v>4048.0465367123984</c:v>
                </c:pt>
                <c:pt idx="39">
                  <c:v>4077.0872707130575</c:v>
                </c:pt>
                <c:pt idx="40">
                  <c:v>4101.383227638973</c:v>
                </c:pt>
                <c:pt idx="41">
                  <c:v>4120.8928891054129</c:v>
                </c:pt>
                <c:pt idx="42">
                  <c:v>4135.5814323478362</c:v>
                </c:pt>
                <c:pt idx="43">
                  <c:v>4145.4206860575732</c:v>
                </c:pt>
                <c:pt idx="44">
                  <c:v>4150.3890883268923</c:v>
                </c:pt>
                <c:pt idx="45">
                  <c:v>4150.4716453796864</c:v>
                </c:pt>
                <c:pt idx="46">
                  <c:v>4145.6598899679138</c:v>
                </c:pt>
                <c:pt idx="47">
                  <c:v>4135.9518384860194</c:v>
                </c:pt>
                <c:pt idx="48">
                  <c:v>4121.3519460013658</c:v>
                </c:pt>
                <c:pt idx="49">
                  <c:v>4101.8710585229028</c:v>
                </c:pt>
                <c:pt idx="50">
                  <c:v>4077.5263619362049</c:v>
                </c:pt>
                <c:pt idx="51">
                  <c:v>4048.3413271240802</c:v>
                </c:pt>
                <c:pt idx="52">
                  <c:v>4014.3456508703921</c:v>
                </c:pt>
                <c:pt idx="53">
                  <c:v>3975.5751922126215</c:v>
                </c:pt>
                <c:pt idx="54">
                  <c:v>3932.071903967847</c:v>
                </c:pt>
                <c:pt idx="55">
                  <c:v>3883.8837592084951</c:v>
                </c:pt>
                <c:pt idx="56">
                  <c:v>3831.0646725095653</c:v>
                </c:pt>
                <c:pt idx="57">
                  <c:v>3773.6744158292108</c:v>
                </c:pt>
                <c:pt idx="58">
                  <c:v>3711.7785289200197</c:v>
                </c:pt>
                <c:pt idx="59">
                  <c:v>3645.4482242001195</c:v>
                </c:pt>
                <c:pt idx="60">
                  <c:v>3574.7602860415986</c:v>
                </c:pt>
                <c:pt idx="61">
                  <c:v>3499.7969644592818</c:v>
                </c:pt>
                <c:pt idx="62">
                  <c:v>3420.6458632060671</c:v>
                </c:pt>
                <c:pt idx="63">
                  <c:v>3337.3998223019103</c:v>
                </c:pt>
                <c:pt idx="64">
                  <c:v>3250.1567950427775</c:v>
                </c:pt>
                <c:pt idx="65">
                  <c:v>3159.019719553301</c:v>
                </c:pt>
                <c:pt idx="66">
                  <c:v>3064.0963849630111</c:v>
                </c:pt>
                <c:pt idx="67">
                  <c:v>2965.4992923007799</c:v>
                </c:pt>
                <c:pt idx="68">
                  <c:v>2863.3455102158105</c:v>
                </c:pt>
                <c:pt idx="69">
                  <c:v>2757.7565256461908</c:v>
                </c:pt>
                <c:pt idx="70">
                  <c:v>2648.8580895677405</c:v>
                </c:pt>
                <c:pt idx="71">
                  <c:v>2536.7800579668938</c:v>
                </c:pt>
                <c:pt idx="72">
                  <c:v>2421.6562281914266</c:v>
                </c:pt>
                <c:pt idx="73">
                  <c:v>2303.6241708424236</c:v>
                </c:pt>
                <c:pt idx="74">
                  <c:v>2182.8250573796163</c:v>
                </c:pt>
                <c:pt idx="75">
                  <c:v>2059.4034836205346</c:v>
                </c:pt>
                <c:pt idx="76">
                  <c:v>1933.5072893215083</c:v>
                </c:pt>
                <c:pt idx="77">
                  <c:v>1805.287374035734</c:v>
                </c:pt>
                <c:pt idx="78">
                  <c:v>1674.8975094502064</c:v>
                </c:pt>
                <c:pt idx="79">
                  <c:v>1542.4941484094657</c:v>
                </c:pt>
                <c:pt idx="80">
                  <c:v>1408.236230839778</c:v>
                </c:pt>
                <c:pt idx="81">
                  <c:v>1272.2849867925554</c:v>
                </c:pt>
                <c:pt idx="82">
                  <c:v>1134.8037368306148</c:v>
                </c:pt>
                <c:pt idx="83">
                  <c:v>995.9576899852218</c:v>
                </c:pt>
                <c:pt idx="84">
                  <c:v>855.91373951577259</c:v>
                </c:pt>
                <c:pt idx="85">
                  <c:v>714.84025670750304</c:v>
                </c:pt>
                <c:pt idx="86">
                  <c:v>572.90688294571123</c:v>
                </c:pt>
                <c:pt idx="87">
                  <c:v>430.28432030770085</c:v>
                </c:pt>
                <c:pt idx="88">
                  <c:v>287.14412091595437</c:v>
                </c:pt>
                <c:pt idx="89">
                  <c:v>143.65847529801135</c:v>
                </c:pt>
                <c:pt idx="90">
                  <c:v>5.0431246106388027E-13</c:v>
                </c:pt>
                <c:pt idx="91">
                  <c:v>-143.65847529801036</c:v>
                </c:pt>
                <c:pt idx="92">
                  <c:v>-287.14412091595335</c:v>
                </c:pt>
                <c:pt idx="93">
                  <c:v>-430.28432030769983</c:v>
                </c:pt>
                <c:pt idx="94">
                  <c:v>-572.90688294571191</c:v>
                </c:pt>
                <c:pt idx="95">
                  <c:v>-714.84025670750373</c:v>
                </c:pt>
                <c:pt idx="96">
                  <c:v>-855.91373951577327</c:v>
                </c:pt>
                <c:pt idx="97">
                  <c:v>-995.9576899852209</c:v>
                </c:pt>
                <c:pt idx="98">
                  <c:v>-1134.8037368306138</c:v>
                </c:pt>
                <c:pt idx="99">
                  <c:v>-1272.2849867925543</c:v>
                </c:pt>
                <c:pt idx="100">
                  <c:v>-1408.2362308397769</c:v>
                </c:pt>
                <c:pt idx="101">
                  <c:v>-1542.4941484094645</c:v>
                </c:pt>
                <c:pt idx="102">
                  <c:v>-1674.8975094502057</c:v>
                </c:pt>
                <c:pt idx="103">
                  <c:v>-1805.2873740357347</c:v>
                </c:pt>
                <c:pt idx="104">
                  <c:v>-1933.5072893215097</c:v>
                </c:pt>
                <c:pt idx="105">
                  <c:v>-2059.4034836205356</c:v>
                </c:pt>
                <c:pt idx="106">
                  <c:v>-2182.8250573796158</c:v>
                </c:pt>
                <c:pt idx="107">
                  <c:v>-2303.6241708424227</c:v>
                </c:pt>
                <c:pt idx="108">
                  <c:v>-2421.6562281914262</c:v>
                </c:pt>
                <c:pt idx="109">
                  <c:v>-2536.7800579668929</c:v>
                </c:pt>
                <c:pt idx="110">
                  <c:v>-2648.8580895677396</c:v>
                </c:pt>
                <c:pt idx="111">
                  <c:v>-2757.7565256461903</c:v>
                </c:pt>
                <c:pt idx="112">
                  <c:v>-2863.3455102158118</c:v>
                </c:pt>
                <c:pt idx="113">
                  <c:v>-2965.4992923007799</c:v>
                </c:pt>
                <c:pt idx="114">
                  <c:v>-3064.0963849630111</c:v>
                </c:pt>
                <c:pt idx="115">
                  <c:v>-3159.0197195533001</c:v>
                </c:pt>
                <c:pt idx="116">
                  <c:v>-3250.1567950427784</c:v>
                </c:pt>
                <c:pt idx="117">
                  <c:v>-3337.3998223019103</c:v>
                </c:pt>
                <c:pt idx="118">
                  <c:v>-3420.6458632060671</c:v>
                </c:pt>
                <c:pt idx="119">
                  <c:v>-3499.7969644592813</c:v>
                </c:pt>
                <c:pt idx="120">
                  <c:v>-3574.7602860415955</c:v>
                </c:pt>
                <c:pt idx="121">
                  <c:v>-3645.4482242001213</c:v>
                </c:pt>
                <c:pt idx="122">
                  <c:v>-3711.7785289200192</c:v>
                </c:pt>
                <c:pt idx="123">
                  <c:v>-3773.6744158292108</c:v>
                </c:pt>
                <c:pt idx="124">
                  <c:v>-3831.0646725095644</c:v>
                </c:pt>
                <c:pt idx="125">
                  <c:v>-3883.8837592084942</c:v>
                </c:pt>
                <c:pt idx="126">
                  <c:v>-3932.0719039678461</c:v>
                </c:pt>
                <c:pt idx="127">
                  <c:v>-3975.5751922126205</c:v>
                </c:pt>
                <c:pt idx="128">
                  <c:v>-4014.3456508703921</c:v>
                </c:pt>
                <c:pt idx="129">
                  <c:v>-4048.3413271240802</c:v>
                </c:pt>
                <c:pt idx="130">
                  <c:v>-4077.5263619362049</c:v>
                </c:pt>
                <c:pt idx="131">
                  <c:v>-4101.8710585229028</c:v>
                </c:pt>
                <c:pt idx="132">
                  <c:v>-4121.3519460013658</c:v>
                </c:pt>
                <c:pt idx="133">
                  <c:v>-4135.9518384860185</c:v>
                </c:pt>
                <c:pt idx="134">
                  <c:v>-4145.6598899679148</c:v>
                </c:pt>
                <c:pt idx="135">
                  <c:v>-4150.4716453796864</c:v>
                </c:pt>
                <c:pt idx="136">
                  <c:v>-4150.3890883268923</c:v>
                </c:pt>
                <c:pt idx="137">
                  <c:v>-4145.4206860575741</c:v>
                </c:pt>
                <c:pt idx="138">
                  <c:v>-4135.5814323478362</c:v>
                </c:pt>
                <c:pt idx="139">
                  <c:v>-4120.8928891054129</c:v>
                </c:pt>
                <c:pt idx="140">
                  <c:v>-4101.3832276389739</c:v>
                </c:pt>
                <c:pt idx="141">
                  <c:v>-4077.0872707130575</c:v>
                </c:pt>
                <c:pt idx="142">
                  <c:v>-4048.0465367124002</c:v>
                </c:pt>
                <c:pt idx="143">
                  <c:v>-4014.3092874818426</c:v>
                </c:pt>
                <c:pt idx="144">
                  <c:v>-3975.9305816973651</c:v>
                </c:pt>
                <c:pt idx="145">
                  <c:v>-3932.9723359701202</c:v>
                </c:pt>
                <c:pt idx="146">
                  <c:v>-3885.503396301513</c:v>
                </c:pt>
                <c:pt idx="147">
                  <c:v>-3833.5996230085366</c:v>
                </c:pt>
                <c:pt idx="148">
                  <c:v>-3777.3439928440584</c:v>
                </c:pt>
                <c:pt idx="149">
                  <c:v>-3716.8267227696906</c:v>
                </c:pt>
                <c:pt idx="150">
                  <c:v>-3652.1454207280563</c:v>
                </c:pt>
                <c:pt idx="151">
                  <c:v>-3583.405269841493</c:v>
                </c:pt>
                <c:pt idx="152">
                  <c:v>-3510.7192537776195</c:v>
                </c:pt>
                <c:pt idx="153">
                  <c:v>-3434.2084326195613</c:v>
                </c:pt>
                <c:pt idx="154">
                  <c:v>-3354.002280519242</c:v>
                </c:pt>
                <c:pt idx="155">
                  <c:v>-3270.2390987650328</c:v>
                </c:pt>
                <c:pt idx="156">
                  <c:v>-3183.0665207359602</c:v>
                </c:pt>
                <c:pt idx="157">
                  <c:v>-3092.6421286228979</c:v>
                </c:pt>
                <c:pt idx="158">
                  <c:v>-2999.1342058447426</c:v>
                </c:pt>
                <c:pt idx="159">
                  <c:v>-2902.7226538208379</c:v>
                </c:pt>
                <c:pt idx="160">
                  <c:v>-2803.6001071655783</c:v>
                </c:pt>
                <c:pt idx="161">
                  <c:v>-2701.9732873110529</c:v>
                </c:pt>
                <c:pt idx="162">
                  <c:v>-2598.06464067756</c:v>
                </c:pt>
                <c:pt idx="163">
                  <c:v>-2492.1143130404257</c:v>
                </c:pt>
                <c:pt idx="164">
                  <c:v>-2384.3825152506565</c:v>
                </c:pt>
                <c:pt idx="165">
                  <c:v>-2275.1523344115449</c:v>
                </c:pt>
                <c:pt idx="166">
                  <c:v>-2164.7330346868371</c:v>
                </c:pt>
                <c:pt idx="167">
                  <c:v>-2053.4638661271806</c:v>
                </c:pt>
                <c:pt idx="168">
                  <c:v>-1941.7183474015617</c:v>
                </c:pt>
                <c:pt idx="169">
                  <c:v>-1829.9088931937927</c:v>
                </c:pt>
                <c:pt idx="170">
                  <c:v>-1718.4914977476942</c:v>
                </c:pt>
                <c:pt idx="171">
                  <c:v>-1607.9699372823361</c:v>
                </c:pt>
                <c:pt idx="172">
                  <c:v>-1498.8985940116415</c:v>
                </c:pt>
                <c:pt idx="173">
                  <c:v>-1391.8825334214387</c:v>
                </c:pt>
                <c:pt idx="174">
                  <c:v>-1287.5729411394841</c:v>
                </c:pt>
                <c:pt idx="175">
                  <c:v>-1186.6556109886847</c:v>
                </c:pt>
                <c:pt idx="176">
                  <c:v>-1089.8301908368521</c:v>
                </c:pt>
                <c:pt idx="177">
                  <c:v>-997.77879104307669</c:v>
                </c:pt>
                <c:pt idx="178">
                  <c:v>-911.1247427098989</c:v>
                </c:pt>
                <c:pt idx="179">
                  <c:v>-830.38570068010119</c:v>
                </c:pt>
                <c:pt idx="180">
                  <c:v>-755.92894601845489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42-4958-AAA1-FE58FF231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355152"/>
        <c:axId val="1189358480"/>
      </c:scatterChart>
      <c:valAx>
        <c:axId val="118935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9358480"/>
        <c:crosses val="autoZero"/>
        <c:crossBetween val="midCat"/>
      </c:valAx>
      <c:valAx>
        <c:axId val="118935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935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Траектории</a:t>
            </a:r>
            <a:r>
              <a:rPr lang="ru-RU" baseline="0"/>
              <a:t> при различных исходных данных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3"/>
          <c:tx>
            <c:v>45 град.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Лист1!$V$5:$V$96</c:f>
              <c:numCache>
                <c:formatCode>General</c:formatCode>
                <c:ptCount val="92"/>
                <c:pt idx="0">
                  <c:v>4081.6329999999998</c:v>
                </c:pt>
                <c:pt idx="1">
                  <c:v>4036.6329999999998</c:v>
                </c:pt>
                <c:pt idx="2">
                  <c:v>3991.6329999999998</c:v>
                </c:pt>
                <c:pt idx="3">
                  <c:v>3946.6329999999998</c:v>
                </c:pt>
                <c:pt idx="4">
                  <c:v>3901.6329999999998</c:v>
                </c:pt>
                <c:pt idx="5">
                  <c:v>3856.6329999999998</c:v>
                </c:pt>
                <c:pt idx="6">
                  <c:v>3811.6329999999998</c:v>
                </c:pt>
                <c:pt idx="7">
                  <c:v>3766.6329999999998</c:v>
                </c:pt>
                <c:pt idx="8">
                  <c:v>3721.6329999999998</c:v>
                </c:pt>
                <c:pt idx="9">
                  <c:v>3676.6329999999998</c:v>
                </c:pt>
                <c:pt idx="10">
                  <c:v>3631.6329999999998</c:v>
                </c:pt>
                <c:pt idx="11">
                  <c:v>3586.6329999999998</c:v>
                </c:pt>
                <c:pt idx="12">
                  <c:v>3541.6329999999998</c:v>
                </c:pt>
                <c:pt idx="13">
                  <c:v>3496.6329999999998</c:v>
                </c:pt>
                <c:pt idx="14">
                  <c:v>3451.6329999999998</c:v>
                </c:pt>
                <c:pt idx="15">
                  <c:v>3406.6329999999998</c:v>
                </c:pt>
                <c:pt idx="16">
                  <c:v>3361.6329999999998</c:v>
                </c:pt>
                <c:pt idx="17">
                  <c:v>3316.6329999999998</c:v>
                </c:pt>
                <c:pt idx="18">
                  <c:v>3271.6329999999998</c:v>
                </c:pt>
                <c:pt idx="19">
                  <c:v>3226.6329999999998</c:v>
                </c:pt>
                <c:pt idx="20">
                  <c:v>3181.6329999999998</c:v>
                </c:pt>
                <c:pt idx="21">
                  <c:v>3136.6329999999998</c:v>
                </c:pt>
                <c:pt idx="22">
                  <c:v>3091.6329999999998</c:v>
                </c:pt>
                <c:pt idx="23">
                  <c:v>3046.6329999999998</c:v>
                </c:pt>
                <c:pt idx="24">
                  <c:v>3001.6329999999998</c:v>
                </c:pt>
                <c:pt idx="25">
                  <c:v>2956.6329999999998</c:v>
                </c:pt>
                <c:pt idx="26">
                  <c:v>2911.6329999999998</c:v>
                </c:pt>
                <c:pt idx="27">
                  <c:v>2866.6329999999998</c:v>
                </c:pt>
                <c:pt idx="28">
                  <c:v>2821.6329999999998</c:v>
                </c:pt>
                <c:pt idx="29">
                  <c:v>2776.6329999999998</c:v>
                </c:pt>
                <c:pt idx="30">
                  <c:v>2731.6329999999998</c:v>
                </c:pt>
                <c:pt idx="31">
                  <c:v>2686.6329999999998</c:v>
                </c:pt>
                <c:pt idx="32">
                  <c:v>2641.6329999999998</c:v>
                </c:pt>
                <c:pt idx="33">
                  <c:v>2596.6329999999998</c:v>
                </c:pt>
                <c:pt idx="34">
                  <c:v>2551.6329999999998</c:v>
                </c:pt>
                <c:pt idx="35">
                  <c:v>2506.6329999999998</c:v>
                </c:pt>
                <c:pt idx="36">
                  <c:v>2461.6329999999998</c:v>
                </c:pt>
                <c:pt idx="37">
                  <c:v>2416.6329999999998</c:v>
                </c:pt>
                <c:pt idx="38">
                  <c:v>2371.6329999999998</c:v>
                </c:pt>
                <c:pt idx="39">
                  <c:v>2326.6329999999998</c:v>
                </c:pt>
                <c:pt idx="40">
                  <c:v>2281.6329999999998</c:v>
                </c:pt>
                <c:pt idx="41">
                  <c:v>2236.6329999999998</c:v>
                </c:pt>
                <c:pt idx="42">
                  <c:v>2191.6329999999998</c:v>
                </c:pt>
                <c:pt idx="43">
                  <c:v>2146.6329999999998</c:v>
                </c:pt>
                <c:pt idx="44">
                  <c:v>2101.6329999999998</c:v>
                </c:pt>
                <c:pt idx="45">
                  <c:v>2056.6329999999998</c:v>
                </c:pt>
                <c:pt idx="46">
                  <c:v>2011.6329999999998</c:v>
                </c:pt>
                <c:pt idx="47">
                  <c:v>1966.6329999999998</c:v>
                </c:pt>
                <c:pt idx="48">
                  <c:v>1921.6329999999998</c:v>
                </c:pt>
                <c:pt idx="49">
                  <c:v>1876.6329999999998</c:v>
                </c:pt>
                <c:pt idx="50">
                  <c:v>1831.6329999999998</c:v>
                </c:pt>
                <c:pt idx="51">
                  <c:v>1786.6329999999998</c:v>
                </c:pt>
                <c:pt idx="52">
                  <c:v>1741.6329999999998</c:v>
                </c:pt>
                <c:pt idx="53">
                  <c:v>1696.6329999999998</c:v>
                </c:pt>
                <c:pt idx="54">
                  <c:v>1651.6329999999998</c:v>
                </c:pt>
                <c:pt idx="55">
                  <c:v>1606.6329999999998</c:v>
                </c:pt>
                <c:pt idx="56">
                  <c:v>1561.6329999999998</c:v>
                </c:pt>
                <c:pt idx="57">
                  <c:v>1516.6329999999998</c:v>
                </c:pt>
                <c:pt idx="58">
                  <c:v>1471.6329999999998</c:v>
                </c:pt>
                <c:pt idx="59">
                  <c:v>1426.6329999999998</c:v>
                </c:pt>
                <c:pt idx="60">
                  <c:v>1381.6329999999998</c:v>
                </c:pt>
                <c:pt idx="61">
                  <c:v>1336.6329999999998</c:v>
                </c:pt>
                <c:pt idx="62">
                  <c:v>1291.6329999999998</c:v>
                </c:pt>
                <c:pt idx="63">
                  <c:v>1246.6329999999998</c:v>
                </c:pt>
                <c:pt idx="64">
                  <c:v>1201.6329999999998</c:v>
                </c:pt>
                <c:pt idx="65">
                  <c:v>1156.6329999999998</c:v>
                </c:pt>
                <c:pt idx="66">
                  <c:v>1111.6329999999998</c:v>
                </c:pt>
                <c:pt idx="67">
                  <c:v>1066.6329999999998</c:v>
                </c:pt>
                <c:pt idx="68">
                  <c:v>1021.6329999999998</c:v>
                </c:pt>
                <c:pt idx="69">
                  <c:v>976.63299999999981</c:v>
                </c:pt>
                <c:pt idx="70">
                  <c:v>931.63299999999981</c:v>
                </c:pt>
                <c:pt idx="71">
                  <c:v>886.63299999999981</c:v>
                </c:pt>
                <c:pt idx="72">
                  <c:v>841.63299999999981</c:v>
                </c:pt>
                <c:pt idx="73">
                  <c:v>796.63299999999981</c:v>
                </c:pt>
                <c:pt idx="74">
                  <c:v>751.63299999999981</c:v>
                </c:pt>
                <c:pt idx="75">
                  <c:v>706.63299999999981</c:v>
                </c:pt>
                <c:pt idx="76">
                  <c:v>661.63299999999981</c:v>
                </c:pt>
                <c:pt idx="77">
                  <c:v>616.63299999999981</c:v>
                </c:pt>
                <c:pt idx="78">
                  <c:v>571.63299999999981</c:v>
                </c:pt>
                <c:pt idx="79">
                  <c:v>526.63299999999981</c:v>
                </c:pt>
                <c:pt idx="80">
                  <c:v>481.63299999999981</c:v>
                </c:pt>
                <c:pt idx="81">
                  <c:v>436.63299999999981</c:v>
                </c:pt>
                <c:pt idx="82">
                  <c:v>391.63299999999981</c:v>
                </c:pt>
                <c:pt idx="83">
                  <c:v>346.63299999999981</c:v>
                </c:pt>
                <c:pt idx="84">
                  <c:v>301.63299999999981</c:v>
                </c:pt>
                <c:pt idx="85">
                  <c:v>256.63299999999981</c:v>
                </c:pt>
                <c:pt idx="86">
                  <c:v>211.63299999999981</c:v>
                </c:pt>
                <c:pt idx="87">
                  <c:v>166.63299999999981</c:v>
                </c:pt>
                <c:pt idx="88">
                  <c:v>121.63299999999981</c:v>
                </c:pt>
                <c:pt idx="89">
                  <c:v>76.632999999999811</c:v>
                </c:pt>
                <c:pt idx="90">
                  <c:v>31.632999999999811</c:v>
                </c:pt>
                <c:pt idx="91">
                  <c:v>0</c:v>
                </c:pt>
              </c:numCache>
            </c:numRef>
          </c:xVal>
          <c:yVal>
            <c:numRef>
              <c:f>Лист1!$W$5:$W$96</c:f>
              <c:numCache>
                <c:formatCode>General</c:formatCode>
                <c:ptCount val="92"/>
                <c:pt idx="0">
                  <c:v>-3.4693880525082932E-4</c:v>
                </c:pt>
                <c:pt idx="1">
                  <c:v>44.503535711195127</c:v>
                </c:pt>
                <c:pt idx="2">
                  <c:v>88.01516836119481</c:v>
                </c:pt>
                <c:pt idx="3">
                  <c:v>130.53455101119471</c:v>
                </c:pt>
                <c:pt idx="4">
                  <c:v>172.06168366119482</c:v>
                </c:pt>
                <c:pt idx="5">
                  <c:v>212.59656631119469</c:v>
                </c:pt>
                <c:pt idx="6">
                  <c:v>252.13919896119478</c:v>
                </c:pt>
                <c:pt idx="7">
                  <c:v>290.68958161119463</c:v>
                </c:pt>
                <c:pt idx="8">
                  <c:v>328.24771426119469</c:v>
                </c:pt>
                <c:pt idx="9">
                  <c:v>364.81359691119496</c:v>
                </c:pt>
                <c:pt idx="10">
                  <c:v>400.38722956119454</c:v>
                </c:pt>
                <c:pt idx="11">
                  <c:v>434.9686122111948</c:v>
                </c:pt>
                <c:pt idx="12">
                  <c:v>468.55774486119481</c:v>
                </c:pt>
                <c:pt idx="13">
                  <c:v>501.15462751119458</c:v>
                </c:pt>
                <c:pt idx="14">
                  <c:v>532.75926016119502</c:v>
                </c:pt>
                <c:pt idx="15">
                  <c:v>563.37164281119476</c:v>
                </c:pt>
                <c:pt idx="16">
                  <c:v>592.99177546119472</c:v>
                </c:pt>
                <c:pt idx="17">
                  <c:v>621.61965811119489</c:v>
                </c:pt>
                <c:pt idx="18">
                  <c:v>649.25529076119437</c:v>
                </c:pt>
                <c:pt idx="19">
                  <c:v>675.89867341119452</c:v>
                </c:pt>
                <c:pt idx="20">
                  <c:v>701.54980606119489</c:v>
                </c:pt>
                <c:pt idx="21">
                  <c:v>726.20868871119455</c:v>
                </c:pt>
                <c:pt idx="22">
                  <c:v>749.87532136119489</c:v>
                </c:pt>
                <c:pt idx="23">
                  <c:v>772.54970401119499</c:v>
                </c:pt>
                <c:pt idx="24">
                  <c:v>794.23183666119485</c:v>
                </c:pt>
                <c:pt idx="25">
                  <c:v>814.92171931119492</c:v>
                </c:pt>
                <c:pt idx="26">
                  <c:v>834.6193519611943</c:v>
                </c:pt>
                <c:pt idx="27">
                  <c:v>853.32473461119457</c:v>
                </c:pt>
                <c:pt idx="28">
                  <c:v>871.03786726119461</c:v>
                </c:pt>
                <c:pt idx="29">
                  <c:v>887.75874991119485</c:v>
                </c:pt>
                <c:pt idx="30">
                  <c:v>903.48738256119464</c:v>
                </c:pt>
                <c:pt idx="31">
                  <c:v>918.22376521119463</c:v>
                </c:pt>
                <c:pt idx="32">
                  <c:v>931.96789786119461</c:v>
                </c:pt>
                <c:pt idx="33">
                  <c:v>944.71978051119481</c:v>
                </c:pt>
                <c:pt idx="34">
                  <c:v>956.47941316119477</c:v>
                </c:pt>
                <c:pt idx="35">
                  <c:v>967.24679581119449</c:v>
                </c:pt>
                <c:pt idx="36">
                  <c:v>977.02192846119442</c:v>
                </c:pt>
                <c:pt idx="37">
                  <c:v>985.80481111119479</c:v>
                </c:pt>
                <c:pt idx="38">
                  <c:v>993.5954437611947</c:v>
                </c:pt>
                <c:pt idx="39">
                  <c:v>1000.3938264111946</c:v>
                </c:pt>
                <c:pt idx="40">
                  <c:v>1006.1999590611947</c:v>
                </c:pt>
                <c:pt idx="41">
                  <c:v>1011.0138417111946</c:v>
                </c:pt>
                <c:pt idx="42">
                  <c:v>1014.8354743611947</c:v>
                </c:pt>
                <c:pt idx="43">
                  <c:v>1017.6648570111945</c:v>
                </c:pt>
                <c:pt idx="44">
                  <c:v>1019.5019896611948</c:v>
                </c:pt>
                <c:pt idx="45">
                  <c:v>1020.3468723111946</c:v>
                </c:pt>
                <c:pt idx="46">
                  <c:v>1020.1995049611947</c:v>
                </c:pt>
                <c:pt idx="47">
                  <c:v>1019.0598876111949</c:v>
                </c:pt>
                <c:pt idx="48">
                  <c:v>1016.9280202611948</c:v>
                </c:pt>
                <c:pt idx="49">
                  <c:v>1013.8039029111948</c:v>
                </c:pt>
                <c:pt idx="50">
                  <c:v>1009.6875355611947</c:v>
                </c:pt>
                <c:pt idx="51">
                  <c:v>1004.5789182111948</c:v>
                </c:pt>
                <c:pt idx="52">
                  <c:v>998.47805086119479</c:v>
                </c:pt>
                <c:pt idx="53">
                  <c:v>991.38493351119473</c:v>
                </c:pt>
                <c:pt idx="54">
                  <c:v>983.29956616119478</c:v>
                </c:pt>
                <c:pt idx="55">
                  <c:v>974.22194881119481</c:v>
                </c:pt>
                <c:pt idx="56">
                  <c:v>964.15208146119471</c:v>
                </c:pt>
                <c:pt idx="57">
                  <c:v>953.08996411119472</c:v>
                </c:pt>
                <c:pt idx="58">
                  <c:v>941.03559676119471</c:v>
                </c:pt>
                <c:pt idx="59">
                  <c:v>927.9889794111948</c:v>
                </c:pt>
                <c:pt idx="60">
                  <c:v>913.95011206119466</c:v>
                </c:pt>
                <c:pt idx="61">
                  <c:v>898.91899471119473</c:v>
                </c:pt>
                <c:pt idx="62">
                  <c:v>882.89562736119478</c:v>
                </c:pt>
                <c:pt idx="63">
                  <c:v>865.88001001119471</c:v>
                </c:pt>
                <c:pt idx="64">
                  <c:v>847.87214266119463</c:v>
                </c:pt>
                <c:pt idx="65">
                  <c:v>828.87202531119465</c:v>
                </c:pt>
                <c:pt idx="66">
                  <c:v>808.87965796119465</c:v>
                </c:pt>
                <c:pt idx="67">
                  <c:v>787.89504061119464</c:v>
                </c:pt>
                <c:pt idx="68">
                  <c:v>765.91817326119485</c:v>
                </c:pt>
                <c:pt idx="69">
                  <c:v>742.94905591119482</c:v>
                </c:pt>
                <c:pt idx="70">
                  <c:v>718.98768856119477</c:v>
                </c:pt>
                <c:pt idx="71">
                  <c:v>694.03407121119483</c:v>
                </c:pt>
                <c:pt idx="72">
                  <c:v>668.08820386119476</c:v>
                </c:pt>
                <c:pt idx="73">
                  <c:v>641.15008651119479</c:v>
                </c:pt>
                <c:pt idx="74">
                  <c:v>613.2197191611948</c:v>
                </c:pt>
                <c:pt idx="75">
                  <c:v>584.29710181119481</c:v>
                </c:pt>
                <c:pt idx="76">
                  <c:v>554.3822344611948</c:v>
                </c:pt>
                <c:pt idx="77">
                  <c:v>523.47511711119478</c:v>
                </c:pt>
                <c:pt idx="78">
                  <c:v>491.57574976119474</c:v>
                </c:pt>
                <c:pt idx="79">
                  <c:v>458.68413241119475</c:v>
                </c:pt>
                <c:pt idx="80">
                  <c:v>424.80026506119481</c:v>
                </c:pt>
                <c:pt idx="81">
                  <c:v>389.92414771119479</c:v>
                </c:pt>
                <c:pt idx="82">
                  <c:v>354.05578036119482</c:v>
                </c:pt>
                <c:pt idx="83">
                  <c:v>317.19516301119478</c:v>
                </c:pt>
                <c:pt idx="84">
                  <c:v>279.34229566119478</c:v>
                </c:pt>
                <c:pt idx="85">
                  <c:v>240.49717831119477</c:v>
                </c:pt>
                <c:pt idx="86">
                  <c:v>200.65981096119481</c:v>
                </c:pt>
                <c:pt idx="87">
                  <c:v>159.8301936111948</c:v>
                </c:pt>
                <c:pt idx="88">
                  <c:v>118.00832626119481</c:v>
                </c:pt>
                <c:pt idx="89">
                  <c:v>75.194208911194806</c:v>
                </c:pt>
                <c:pt idx="90">
                  <c:v>31.387841561194811</c:v>
                </c:pt>
                <c:pt idx="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D44-4297-AFAC-50E5DE2F8BE8}"/>
            </c:ext>
          </c:extLst>
        </c:ser>
        <c:ser>
          <c:idx val="2"/>
          <c:order val="4"/>
          <c:tx>
            <c:v>30 град.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Лист1!$X$5:$X$84</c:f>
              <c:numCache>
                <c:formatCode>General</c:formatCode>
                <c:ptCount val="80"/>
                <c:pt idx="0">
                  <c:v>3534.7979999999998</c:v>
                </c:pt>
                <c:pt idx="1">
                  <c:v>3489.7979999999998</c:v>
                </c:pt>
                <c:pt idx="2">
                  <c:v>3444.7979999999998</c:v>
                </c:pt>
                <c:pt idx="3">
                  <c:v>3399.7979999999998</c:v>
                </c:pt>
                <c:pt idx="4">
                  <c:v>3354.7979999999998</c:v>
                </c:pt>
                <c:pt idx="5">
                  <c:v>3309.7979999999998</c:v>
                </c:pt>
                <c:pt idx="6">
                  <c:v>3264.7979999999998</c:v>
                </c:pt>
                <c:pt idx="7">
                  <c:v>3219.7979999999998</c:v>
                </c:pt>
                <c:pt idx="8">
                  <c:v>3174.7979999999998</c:v>
                </c:pt>
                <c:pt idx="9">
                  <c:v>3129.7979999999998</c:v>
                </c:pt>
                <c:pt idx="10">
                  <c:v>3084.7979999999998</c:v>
                </c:pt>
                <c:pt idx="11">
                  <c:v>3039.7979999999998</c:v>
                </c:pt>
                <c:pt idx="12">
                  <c:v>2994.7979999999998</c:v>
                </c:pt>
                <c:pt idx="13">
                  <c:v>2949.7979999999998</c:v>
                </c:pt>
                <c:pt idx="14">
                  <c:v>2904.7979999999998</c:v>
                </c:pt>
                <c:pt idx="15">
                  <c:v>2859.7979999999998</c:v>
                </c:pt>
                <c:pt idx="16">
                  <c:v>2814.7979999999998</c:v>
                </c:pt>
                <c:pt idx="17">
                  <c:v>2769.7979999999998</c:v>
                </c:pt>
                <c:pt idx="18">
                  <c:v>2724.7979999999998</c:v>
                </c:pt>
                <c:pt idx="19">
                  <c:v>2679.7979999999998</c:v>
                </c:pt>
                <c:pt idx="20">
                  <c:v>2634.7979999999998</c:v>
                </c:pt>
                <c:pt idx="21">
                  <c:v>2589.7979999999998</c:v>
                </c:pt>
                <c:pt idx="22">
                  <c:v>2544.7979999999998</c:v>
                </c:pt>
                <c:pt idx="23">
                  <c:v>2499.7979999999998</c:v>
                </c:pt>
                <c:pt idx="24">
                  <c:v>2454.7979999999998</c:v>
                </c:pt>
                <c:pt idx="25">
                  <c:v>2409.7979999999998</c:v>
                </c:pt>
                <c:pt idx="26">
                  <c:v>2364.7979999999998</c:v>
                </c:pt>
                <c:pt idx="27">
                  <c:v>2319.7979999999998</c:v>
                </c:pt>
                <c:pt idx="28">
                  <c:v>2274.7979999999998</c:v>
                </c:pt>
                <c:pt idx="29">
                  <c:v>2229.7979999999998</c:v>
                </c:pt>
                <c:pt idx="30">
                  <c:v>2184.7979999999998</c:v>
                </c:pt>
                <c:pt idx="31">
                  <c:v>2139.7979999999998</c:v>
                </c:pt>
                <c:pt idx="32">
                  <c:v>2094.7979999999998</c:v>
                </c:pt>
                <c:pt idx="33">
                  <c:v>2049.7979999999998</c:v>
                </c:pt>
                <c:pt idx="34">
                  <c:v>2004.7979999999998</c:v>
                </c:pt>
                <c:pt idx="35">
                  <c:v>1959.7979999999998</c:v>
                </c:pt>
                <c:pt idx="36">
                  <c:v>1914.7979999999998</c:v>
                </c:pt>
                <c:pt idx="37">
                  <c:v>1869.7979999999998</c:v>
                </c:pt>
                <c:pt idx="38">
                  <c:v>1824.7979999999998</c:v>
                </c:pt>
                <c:pt idx="39">
                  <c:v>1779.7979999999998</c:v>
                </c:pt>
                <c:pt idx="40">
                  <c:v>1734.7979999999998</c:v>
                </c:pt>
                <c:pt idx="41">
                  <c:v>1689.7979999999998</c:v>
                </c:pt>
                <c:pt idx="42">
                  <c:v>1644.7979999999998</c:v>
                </c:pt>
                <c:pt idx="43">
                  <c:v>1599.7979999999998</c:v>
                </c:pt>
                <c:pt idx="44">
                  <c:v>1554.7979999999998</c:v>
                </c:pt>
                <c:pt idx="45">
                  <c:v>1509.7979999999998</c:v>
                </c:pt>
                <c:pt idx="46">
                  <c:v>1464.7979999999998</c:v>
                </c:pt>
                <c:pt idx="47">
                  <c:v>1419.7979999999998</c:v>
                </c:pt>
                <c:pt idx="48">
                  <c:v>1374.7979999999998</c:v>
                </c:pt>
                <c:pt idx="49">
                  <c:v>1329.7979999999998</c:v>
                </c:pt>
                <c:pt idx="50">
                  <c:v>1284.7979999999998</c:v>
                </c:pt>
                <c:pt idx="51">
                  <c:v>1239.7979999999998</c:v>
                </c:pt>
                <c:pt idx="52">
                  <c:v>1194.7979999999998</c:v>
                </c:pt>
                <c:pt idx="53">
                  <c:v>1149.7979999999998</c:v>
                </c:pt>
                <c:pt idx="54">
                  <c:v>1104.7979999999998</c:v>
                </c:pt>
                <c:pt idx="55">
                  <c:v>1059.7979999999998</c:v>
                </c:pt>
                <c:pt idx="56">
                  <c:v>1014.7979999999998</c:v>
                </c:pt>
                <c:pt idx="57">
                  <c:v>969.79799999999977</c:v>
                </c:pt>
                <c:pt idx="58">
                  <c:v>924.79799999999977</c:v>
                </c:pt>
                <c:pt idx="59">
                  <c:v>879.79799999999977</c:v>
                </c:pt>
                <c:pt idx="60">
                  <c:v>834.79799999999977</c:v>
                </c:pt>
                <c:pt idx="61">
                  <c:v>789.79799999999977</c:v>
                </c:pt>
                <c:pt idx="62">
                  <c:v>744.79799999999977</c:v>
                </c:pt>
                <c:pt idx="63">
                  <c:v>699.79799999999977</c:v>
                </c:pt>
                <c:pt idx="64">
                  <c:v>654.79799999999977</c:v>
                </c:pt>
                <c:pt idx="65">
                  <c:v>609.79799999999977</c:v>
                </c:pt>
                <c:pt idx="66">
                  <c:v>564.79799999999977</c:v>
                </c:pt>
                <c:pt idx="67">
                  <c:v>519.79799999999977</c:v>
                </c:pt>
                <c:pt idx="68">
                  <c:v>474.79799999999977</c:v>
                </c:pt>
                <c:pt idx="69">
                  <c:v>429.79799999999977</c:v>
                </c:pt>
                <c:pt idx="70">
                  <c:v>384.79799999999977</c:v>
                </c:pt>
                <c:pt idx="71">
                  <c:v>339.79799999999977</c:v>
                </c:pt>
                <c:pt idx="72">
                  <c:v>294.79799999999977</c:v>
                </c:pt>
                <c:pt idx="73">
                  <c:v>249.79799999999977</c:v>
                </c:pt>
                <c:pt idx="74">
                  <c:v>204.79799999999977</c:v>
                </c:pt>
                <c:pt idx="75">
                  <c:v>159.79799999999977</c:v>
                </c:pt>
                <c:pt idx="76">
                  <c:v>114.79799999999977</c:v>
                </c:pt>
                <c:pt idx="77">
                  <c:v>69.797999999999774</c:v>
                </c:pt>
                <c:pt idx="78">
                  <c:v>24.797999999999774</c:v>
                </c:pt>
                <c:pt idx="79">
                  <c:v>0</c:v>
                </c:pt>
              </c:numCache>
            </c:numRef>
          </c:xVal>
          <c:yVal>
            <c:numRef>
              <c:f>Лист1!$Y$5:$Y$84</c:f>
              <c:numCache>
                <c:formatCode>General</c:formatCode>
                <c:ptCount val="80"/>
                <c:pt idx="0">
                  <c:v>-2.5030036931639188E-4</c:v>
                </c:pt>
                <c:pt idx="1">
                  <c:v>25.649768186097617</c:v>
                </c:pt>
                <c:pt idx="2">
                  <c:v>50.638286672564391</c:v>
                </c:pt>
                <c:pt idx="3">
                  <c:v>74.965305159031232</c:v>
                </c:pt>
                <c:pt idx="4">
                  <c:v>98.630823645497912</c:v>
                </c:pt>
                <c:pt idx="5">
                  <c:v>121.63484213196489</c:v>
                </c:pt>
                <c:pt idx="6">
                  <c:v>143.9773606184317</c:v>
                </c:pt>
                <c:pt idx="7">
                  <c:v>165.65837910489881</c:v>
                </c:pt>
                <c:pt idx="8">
                  <c:v>186.67789759136531</c:v>
                </c:pt>
                <c:pt idx="9">
                  <c:v>207.03591607783233</c:v>
                </c:pt>
                <c:pt idx="10">
                  <c:v>226.73243456429896</c:v>
                </c:pt>
                <c:pt idx="11">
                  <c:v>245.76745305076611</c:v>
                </c:pt>
                <c:pt idx="12">
                  <c:v>264.14097153723287</c:v>
                </c:pt>
                <c:pt idx="13">
                  <c:v>281.8529900236997</c:v>
                </c:pt>
                <c:pt idx="14">
                  <c:v>298.90350851016615</c:v>
                </c:pt>
                <c:pt idx="15">
                  <c:v>315.29252699663334</c:v>
                </c:pt>
                <c:pt idx="16">
                  <c:v>331.02004548310015</c:v>
                </c:pt>
                <c:pt idx="17">
                  <c:v>346.08606396956702</c:v>
                </c:pt>
                <c:pt idx="18">
                  <c:v>360.49058245603374</c:v>
                </c:pt>
                <c:pt idx="19">
                  <c:v>374.23360094250074</c:v>
                </c:pt>
                <c:pt idx="20">
                  <c:v>387.31511942896759</c:v>
                </c:pt>
                <c:pt idx="21">
                  <c:v>399.73513791543451</c:v>
                </c:pt>
                <c:pt idx="22">
                  <c:v>411.49365640190126</c:v>
                </c:pt>
                <c:pt idx="23">
                  <c:v>422.59067488836808</c:v>
                </c:pt>
                <c:pt idx="24">
                  <c:v>433.02619337483497</c:v>
                </c:pt>
                <c:pt idx="25">
                  <c:v>442.8002118613017</c:v>
                </c:pt>
                <c:pt idx="26">
                  <c:v>451.91273034776873</c:v>
                </c:pt>
                <c:pt idx="27">
                  <c:v>460.36374883423537</c:v>
                </c:pt>
                <c:pt idx="28">
                  <c:v>468.1532673207023</c:v>
                </c:pt>
                <c:pt idx="29">
                  <c:v>475.28128580716907</c:v>
                </c:pt>
                <c:pt idx="30">
                  <c:v>481.74780429363591</c:v>
                </c:pt>
                <c:pt idx="31">
                  <c:v>487.5528227801027</c:v>
                </c:pt>
                <c:pt idx="32">
                  <c:v>492.69634126656979</c:v>
                </c:pt>
                <c:pt idx="33">
                  <c:v>497.17835975303637</c:v>
                </c:pt>
                <c:pt idx="34">
                  <c:v>500.99887823950337</c:v>
                </c:pt>
                <c:pt idx="35">
                  <c:v>504.15789672597009</c:v>
                </c:pt>
                <c:pt idx="36">
                  <c:v>506.65541521243711</c:v>
                </c:pt>
                <c:pt idx="37">
                  <c:v>508.49143369890373</c:v>
                </c:pt>
                <c:pt idx="38">
                  <c:v>509.66595218537066</c:v>
                </c:pt>
                <c:pt idx="39">
                  <c:v>510.17897067183742</c:v>
                </c:pt>
                <c:pt idx="40">
                  <c:v>510.03048915830425</c:v>
                </c:pt>
                <c:pt idx="41">
                  <c:v>509.22050764477109</c:v>
                </c:pt>
                <c:pt idx="42">
                  <c:v>507.749026131238</c:v>
                </c:pt>
                <c:pt idx="43">
                  <c:v>505.6160446177048</c:v>
                </c:pt>
                <c:pt idx="44">
                  <c:v>502.82156310417162</c:v>
                </c:pt>
                <c:pt idx="45">
                  <c:v>499.36558159063861</c:v>
                </c:pt>
                <c:pt idx="46">
                  <c:v>495.24810007710545</c:v>
                </c:pt>
                <c:pt idx="47">
                  <c:v>490.46911856357224</c:v>
                </c:pt>
                <c:pt idx="48">
                  <c:v>485.02863705003909</c:v>
                </c:pt>
                <c:pt idx="49">
                  <c:v>478.92665553650596</c:v>
                </c:pt>
                <c:pt idx="50">
                  <c:v>472.16317402297273</c:v>
                </c:pt>
                <c:pt idx="51">
                  <c:v>464.73819250943961</c:v>
                </c:pt>
                <c:pt idx="52">
                  <c:v>456.65171099590646</c:v>
                </c:pt>
                <c:pt idx="53">
                  <c:v>447.90372948237325</c:v>
                </c:pt>
                <c:pt idx="54">
                  <c:v>438.49424796884011</c:v>
                </c:pt>
                <c:pt idx="55">
                  <c:v>428.42326645530693</c:v>
                </c:pt>
                <c:pt idx="56">
                  <c:v>417.69078494177381</c:v>
                </c:pt>
                <c:pt idx="57">
                  <c:v>406.29680342824065</c:v>
                </c:pt>
                <c:pt idx="58">
                  <c:v>394.24132191470744</c:v>
                </c:pt>
                <c:pt idx="59">
                  <c:v>381.5243404011743</c:v>
                </c:pt>
                <c:pt idx="60">
                  <c:v>368.14585888764111</c:v>
                </c:pt>
                <c:pt idx="61">
                  <c:v>354.10587737410799</c:v>
                </c:pt>
                <c:pt idx="62">
                  <c:v>339.40439586057482</c:v>
                </c:pt>
                <c:pt idx="63">
                  <c:v>324.04141434704161</c:v>
                </c:pt>
                <c:pt idx="64">
                  <c:v>308.01693283350846</c:v>
                </c:pt>
                <c:pt idx="65">
                  <c:v>291.33095131997533</c:v>
                </c:pt>
                <c:pt idx="66">
                  <c:v>273.98346980644214</c:v>
                </c:pt>
                <c:pt idx="67">
                  <c:v>255.974488292909</c:v>
                </c:pt>
                <c:pt idx="68">
                  <c:v>237.30400677937581</c:v>
                </c:pt>
                <c:pt idx="69">
                  <c:v>217.97202526584266</c:v>
                </c:pt>
                <c:pt idx="70">
                  <c:v>197.97854375230949</c:v>
                </c:pt>
                <c:pt idx="71">
                  <c:v>177.32356223877633</c:v>
                </c:pt>
                <c:pt idx="72">
                  <c:v>156.00708072524318</c:v>
                </c:pt>
                <c:pt idx="73">
                  <c:v>134.02909921171002</c:v>
                </c:pt>
                <c:pt idx="74">
                  <c:v>111.38961769817686</c:v>
                </c:pt>
                <c:pt idx="75">
                  <c:v>88.08863618464369</c:v>
                </c:pt>
                <c:pt idx="76">
                  <c:v>64.126154671110527</c:v>
                </c:pt>
                <c:pt idx="77">
                  <c:v>39.502173157577367</c:v>
                </c:pt>
                <c:pt idx="78">
                  <c:v>14.216691644044211</c:v>
                </c:pt>
                <c:pt idx="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D44-4297-AFAC-50E5DE2F8BE8}"/>
            </c:ext>
          </c:extLst>
        </c:ser>
        <c:ser>
          <c:idx val="4"/>
          <c:order val="5"/>
          <c:tx>
            <c:v>60 град.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Лист1!$Z$5:$Z$84</c:f>
              <c:numCache>
                <c:formatCode>General</c:formatCode>
                <c:ptCount val="80"/>
                <c:pt idx="0">
                  <c:v>3534.7979999999998</c:v>
                </c:pt>
                <c:pt idx="1">
                  <c:v>3489.7979999999998</c:v>
                </c:pt>
                <c:pt idx="2">
                  <c:v>3444.7979999999998</c:v>
                </c:pt>
                <c:pt idx="3">
                  <c:v>3399.7979999999998</c:v>
                </c:pt>
                <c:pt idx="4">
                  <c:v>3354.7979999999998</c:v>
                </c:pt>
                <c:pt idx="5">
                  <c:v>3309.7979999999998</c:v>
                </c:pt>
                <c:pt idx="6">
                  <c:v>3264.7979999999998</c:v>
                </c:pt>
                <c:pt idx="7">
                  <c:v>3219.7979999999998</c:v>
                </c:pt>
                <c:pt idx="8">
                  <c:v>3174.7979999999998</c:v>
                </c:pt>
                <c:pt idx="9">
                  <c:v>3129.7979999999998</c:v>
                </c:pt>
                <c:pt idx="10">
                  <c:v>3084.7979999999998</c:v>
                </c:pt>
                <c:pt idx="11">
                  <c:v>3039.7979999999998</c:v>
                </c:pt>
                <c:pt idx="12">
                  <c:v>2994.7979999999998</c:v>
                </c:pt>
                <c:pt idx="13">
                  <c:v>2949.7979999999998</c:v>
                </c:pt>
                <c:pt idx="14">
                  <c:v>2904.7979999999998</c:v>
                </c:pt>
                <c:pt idx="15">
                  <c:v>2859.7979999999998</c:v>
                </c:pt>
                <c:pt idx="16">
                  <c:v>2814.7979999999998</c:v>
                </c:pt>
                <c:pt idx="17">
                  <c:v>2769.7979999999998</c:v>
                </c:pt>
                <c:pt idx="18">
                  <c:v>2724.7979999999998</c:v>
                </c:pt>
                <c:pt idx="19">
                  <c:v>2679.7979999999998</c:v>
                </c:pt>
                <c:pt idx="20">
                  <c:v>2634.7979999999998</c:v>
                </c:pt>
                <c:pt idx="21">
                  <c:v>2589.7979999999998</c:v>
                </c:pt>
                <c:pt idx="22">
                  <c:v>2544.7979999999998</c:v>
                </c:pt>
                <c:pt idx="23">
                  <c:v>2499.7979999999998</c:v>
                </c:pt>
                <c:pt idx="24">
                  <c:v>2454.7979999999998</c:v>
                </c:pt>
                <c:pt idx="25">
                  <c:v>2409.7979999999998</c:v>
                </c:pt>
                <c:pt idx="26">
                  <c:v>2364.7979999999998</c:v>
                </c:pt>
                <c:pt idx="27">
                  <c:v>2319.7979999999998</c:v>
                </c:pt>
                <c:pt idx="28">
                  <c:v>2274.7979999999998</c:v>
                </c:pt>
                <c:pt idx="29">
                  <c:v>2229.7979999999998</c:v>
                </c:pt>
                <c:pt idx="30">
                  <c:v>2184.7979999999998</c:v>
                </c:pt>
                <c:pt idx="31">
                  <c:v>2139.7979999999998</c:v>
                </c:pt>
                <c:pt idx="32">
                  <c:v>2094.7979999999998</c:v>
                </c:pt>
                <c:pt idx="33">
                  <c:v>2049.7979999999998</c:v>
                </c:pt>
                <c:pt idx="34">
                  <c:v>2004.7979999999998</c:v>
                </c:pt>
                <c:pt idx="35">
                  <c:v>1959.7979999999998</c:v>
                </c:pt>
                <c:pt idx="36">
                  <c:v>1914.7979999999998</c:v>
                </c:pt>
                <c:pt idx="37">
                  <c:v>1869.7979999999998</c:v>
                </c:pt>
                <c:pt idx="38">
                  <c:v>1824.7979999999998</c:v>
                </c:pt>
                <c:pt idx="39">
                  <c:v>1779.7979999999998</c:v>
                </c:pt>
                <c:pt idx="40">
                  <c:v>1734.7979999999998</c:v>
                </c:pt>
                <c:pt idx="41">
                  <c:v>1689.7979999999998</c:v>
                </c:pt>
                <c:pt idx="42">
                  <c:v>1644.7979999999998</c:v>
                </c:pt>
                <c:pt idx="43">
                  <c:v>1599.7979999999998</c:v>
                </c:pt>
                <c:pt idx="44">
                  <c:v>1554.7979999999998</c:v>
                </c:pt>
                <c:pt idx="45">
                  <c:v>1509.7979999999998</c:v>
                </c:pt>
                <c:pt idx="46">
                  <c:v>1464.7979999999998</c:v>
                </c:pt>
                <c:pt idx="47">
                  <c:v>1419.7979999999998</c:v>
                </c:pt>
                <c:pt idx="48">
                  <c:v>1374.7979999999998</c:v>
                </c:pt>
                <c:pt idx="49">
                  <c:v>1329.7979999999998</c:v>
                </c:pt>
                <c:pt idx="50">
                  <c:v>1284.7979999999998</c:v>
                </c:pt>
                <c:pt idx="51">
                  <c:v>1239.7979999999998</c:v>
                </c:pt>
                <c:pt idx="52">
                  <c:v>1194.7979999999998</c:v>
                </c:pt>
                <c:pt idx="53">
                  <c:v>1149.7979999999998</c:v>
                </c:pt>
                <c:pt idx="54">
                  <c:v>1104.7979999999998</c:v>
                </c:pt>
                <c:pt idx="55">
                  <c:v>1059.7979999999998</c:v>
                </c:pt>
                <c:pt idx="56">
                  <c:v>1014.7979999999998</c:v>
                </c:pt>
                <c:pt idx="57">
                  <c:v>969.79799999999977</c:v>
                </c:pt>
                <c:pt idx="58">
                  <c:v>924.79799999999977</c:v>
                </c:pt>
                <c:pt idx="59">
                  <c:v>879.79799999999977</c:v>
                </c:pt>
                <c:pt idx="60">
                  <c:v>834.79799999999977</c:v>
                </c:pt>
                <c:pt idx="61">
                  <c:v>789.79799999999977</c:v>
                </c:pt>
                <c:pt idx="62">
                  <c:v>744.79799999999977</c:v>
                </c:pt>
                <c:pt idx="63">
                  <c:v>699.79799999999977</c:v>
                </c:pt>
                <c:pt idx="64">
                  <c:v>654.79799999999977</c:v>
                </c:pt>
                <c:pt idx="65">
                  <c:v>609.79799999999977</c:v>
                </c:pt>
                <c:pt idx="66">
                  <c:v>564.79799999999977</c:v>
                </c:pt>
                <c:pt idx="67">
                  <c:v>519.79799999999977</c:v>
                </c:pt>
                <c:pt idx="68">
                  <c:v>474.79799999999977</c:v>
                </c:pt>
                <c:pt idx="69">
                  <c:v>429.79799999999977</c:v>
                </c:pt>
                <c:pt idx="70">
                  <c:v>384.79799999999977</c:v>
                </c:pt>
                <c:pt idx="71">
                  <c:v>339.79799999999977</c:v>
                </c:pt>
                <c:pt idx="72">
                  <c:v>294.79799999999977</c:v>
                </c:pt>
                <c:pt idx="73">
                  <c:v>249.79799999999977</c:v>
                </c:pt>
                <c:pt idx="74">
                  <c:v>204.79799999999977</c:v>
                </c:pt>
                <c:pt idx="75">
                  <c:v>159.79799999999977</c:v>
                </c:pt>
                <c:pt idx="76">
                  <c:v>114.79799999999977</c:v>
                </c:pt>
                <c:pt idx="77">
                  <c:v>69.797999999999774</c:v>
                </c:pt>
                <c:pt idx="78">
                  <c:v>24.797999999999774</c:v>
                </c:pt>
                <c:pt idx="79">
                  <c:v>0</c:v>
                </c:pt>
              </c:numCache>
            </c:numRef>
          </c:xVal>
          <c:yVal>
            <c:numRef>
              <c:f>Лист1!$AA$5:$AA$84</c:f>
              <c:numCache>
                <c:formatCode>General</c:formatCode>
                <c:ptCount val="80"/>
                <c:pt idx="0">
                  <c:v>-7.5090110749442829E-4</c:v>
                </c:pt>
                <c:pt idx="1">
                  <c:v>76.949304558293079</c:v>
                </c:pt>
                <c:pt idx="2">
                  <c:v>151.91486001769408</c:v>
                </c:pt>
                <c:pt idx="3">
                  <c:v>224.89591547709369</c:v>
                </c:pt>
                <c:pt idx="4">
                  <c:v>295.89247093649465</c:v>
                </c:pt>
                <c:pt idx="5">
                  <c:v>364.90452639589512</c:v>
                </c:pt>
                <c:pt idx="6">
                  <c:v>431.93208185529511</c:v>
                </c:pt>
                <c:pt idx="7">
                  <c:v>496.97513731469644</c:v>
                </c:pt>
                <c:pt idx="8">
                  <c:v>560.03369277409547</c:v>
                </c:pt>
                <c:pt idx="9">
                  <c:v>621.10774823349675</c:v>
                </c:pt>
                <c:pt idx="10">
                  <c:v>680.19730369289755</c:v>
                </c:pt>
                <c:pt idx="11">
                  <c:v>737.30235915229787</c:v>
                </c:pt>
                <c:pt idx="12">
                  <c:v>792.42291461169862</c:v>
                </c:pt>
                <c:pt idx="13">
                  <c:v>845.55897007109888</c:v>
                </c:pt>
                <c:pt idx="14">
                  <c:v>896.71052553049958</c:v>
                </c:pt>
                <c:pt idx="15">
                  <c:v>945.8775809898998</c:v>
                </c:pt>
                <c:pt idx="16">
                  <c:v>993.06013644929999</c:v>
                </c:pt>
                <c:pt idx="17">
                  <c:v>1038.2581919087011</c:v>
                </c:pt>
                <c:pt idx="18">
                  <c:v>1081.4717473681012</c:v>
                </c:pt>
                <c:pt idx="19">
                  <c:v>1122.7008028275022</c:v>
                </c:pt>
                <c:pt idx="20">
                  <c:v>1161.9453582869023</c:v>
                </c:pt>
                <c:pt idx="21">
                  <c:v>1199.2054137463037</c:v>
                </c:pt>
                <c:pt idx="22">
                  <c:v>1234.4809692057033</c:v>
                </c:pt>
                <c:pt idx="23">
                  <c:v>1267.7720246651038</c:v>
                </c:pt>
                <c:pt idx="24">
                  <c:v>1299.0785801245042</c:v>
                </c:pt>
                <c:pt idx="25">
                  <c:v>1328.4006355839047</c:v>
                </c:pt>
                <c:pt idx="26">
                  <c:v>1355.7381910433055</c:v>
                </c:pt>
                <c:pt idx="27">
                  <c:v>1381.0912465027059</c:v>
                </c:pt>
                <c:pt idx="28">
                  <c:v>1404.4598019621067</c:v>
                </c:pt>
                <c:pt idx="29">
                  <c:v>1425.843857421507</c:v>
                </c:pt>
                <c:pt idx="30">
                  <c:v>1445.2434128809073</c:v>
                </c:pt>
                <c:pt idx="31">
                  <c:v>1462.658468340308</c:v>
                </c:pt>
                <c:pt idx="32">
                  <c:v>1478.0890237997087</c:v>
                </c:pt>
                <c:pt idx="33">
                  <c:v>1491.5350792591089</c:v>
                </c:pt>
                <c:pt idx="34">
                  <c:v>1502.9966347185098</c:v>
                </c:pt>
                <c:pt idx="35">
                  <c:v>1512.4736901779097</c:v>
                </c:pt>
                <c:pt idx="36">
                  <c:v>1519.9662456373105</c:v>
                </c:pt>
                <c:pt idx="37">
                  <c:v>1525.4743010967111</c:v>
                </c:pt>
                <c:pt idx="38">
                  <c:v>1528.9978565561116</c:v>
                </c:pt>
                <c:pt idx="39">
                  <c:v>1530.5369120155124</c:v>
                </c:pt>
                <c:pt idx="40">
                  <c:v>1530.0914674749124</c:v>
                </c:pt>
                <c:pt idx="41">
                  <c:v>1527.6615229343129</c:v>
                </c:pt>
                <c:pt idx="42">
                  <c:v>1523.2470783937138</c:v>
                </c:pt>
                <c:pt idx="43">
                  <c:v>1516.8481338531142</c:v>
                </c:pt>
                <c:pt idx="44">
                  <c:v>1508.4646893125148</c:v>
                </c:pt>
                <c:pt idx="45">
                  <c:v>1498.0967447719152</c:v>
                </c:pt>
                <c:pt idx="46">
                  <c:v>1485.7443002313157</c:v>
                </c:pt>
                <c:pt idx="47">
                  <c:v>1471.407355690716</c:v>
                </c:pt>
                <c:pt idx="48">
                  <c:v>1455.0859111501168</c:v>
                </c:pt>
                <c:pt idx="49">
                  <c:v>1436.7799666095175</c:v>
                </c:pt>
                <c:pt idx="50">
                  <c:v>1416.4895220689177</c:v>
                </c:pt>
                <c:pt idx="51">
                  <c:v>1394.2145775283182</c:v>
                </c:pt>
                <c:pt idx="52">
                  <c:v>1369.955132987719</c:v>
                </c:pt>
                <c:pt idx="53">
                  <c:v>1343.7111884471194</c:v>
                </c:pt>
                <c:pt idx="54">
                  <c:v>1315.4827439065198</c:v>
                </c:pt>
                <c:pt idx="55">
                  <c:v>1285.2697993659203</c:v>
                </c:pt>
                <c:pt idx="56">
                  <c:v>1253.0723548253211</c:v>
                </c:pt>
                <c:pt idx="57">
                  <c:v>1218.8904102847214</c:v>
                </c:pt>
                <c:pt idx="58">
                  <c:v>1182.7239657441221</c:v>
                </c:pt>
                <c:pt idx="59">
                  <c:v>1144.5730212035223</c:v>
                </c:pt>
                <c:pt idx="60">
                  <c:v>1104.437576662923</c:v>
                </c:pt>
                <c:pt idx="61">
                  <c:v>1062.3176321223236</c:v>
                </c:pt>
                <c:pt idx="62">
                  <c:v>1018.213187581724</c:v>
                </c:pt>
                <c:pt idx="63">
                  <c:v>972.1242430411246</c:v>
                </c:pt>
                <c:pt idx="64">
                  <c:v>924.05079850052527</c:v>
                </c:pt>
                <c:pt idx="65">
                  <c:v>873.9928539599257</c:v>
                </c:pt>
                <c:pt idx="66">
                  <c:v>821.95040941932621</c:v>
                </c:pt>
                <c:pt idx="67">
                  <c:v>767.9234648787268</c:v>
                </c:pt>
                <c:pt idx="68">
                  <c:v>711.91202033812726</c:v>
                </c:pt>
                <c:pt idx="69">
                  <c:v>653.91607579752781</c:v>
                </c:pt>
                <c:pt idx="70">
                  <c:v>593.93563125692833</c:v>
                </c:pt>
                <c:pt idx="71">
                  <c:v>531.97068671632894</c:v>
                </c:pt>
                <c:pt idx="72">
                  <c:v>468.02124217572941</c:v>
                </c:pt>
                <c:pt idx="73">
                  <c:v>402.08729763512991</c:v>
                </c:pt>
                <c:pt idx="74">
                  <c:v>334.1688530945305</c:v>
                </c:pt>
                <c:pt idx="75">
                  <c:v>264.26590855393101</c:v>
                </c:pt>
                <c:pt idx="76">
                  <c:v>192.37846401333155</c:v>
                </c:pt>
                <c:pt idx="77">
                  <c:v>118.50651947273208</c:v>
                </c:pt>
                <c:pt idx="78">
                  <c:v>42.650074932132618</c:v>
                </c:pt>
                <c:pt idx="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D44-4297-AFAC-50E5DE2F8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013599"/>
        <c:axId val="204201526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Лист1!$W$4</c15:sqref>
                        </c15:formulaRef>
                      </c:ext>
                    </c:extLst>
                    <c:strCache>
                      <c:ptCount val="1"/>
                      <c:pt idx="0">
                        <c:v>y, м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Лист1!$V$5:$V$96</c15:sqref>
                        </c15:formulaRef>
                      </c:ext>
                    </c:extLst>
                    <c:numCache>
                      <c:formatCode>General</c:formatCode>
                      <c:ptCount val="92"/>
                      <c:pt idx="0">
                        <c:v>4081.6329999999998</c:v>
                      </c:pt>
                      <c:pt idx="1">
                        <c:v>4036.6329999999998</c:v>
                      </c:pt>
                      <c:pt idx="2">
                        <c:v>3991.6329999999998</c:v>
                      </c:pt>
                      <c:pt idx="3">
                        <c:v>3946.6329999999998</c:v>
                      </c:pt>
                      <c:pt idx="4">
                        <c:v>3901.6329999999998</c:v>
                      </c:pt>
                      <c:pt idx="5">
                        <c:v>3856.6329999999998</c:v>
                      </c:pt>
                      <c:pt idx="6">
                        <c:v>3811.6329999999998</c:v>
                      </c:pt>
                      <c:pt idx="7">
                        <c:v>3766.6329999999998</c:v>
                      </c:pt>
                      <c:pt idx="8">
                        <c:v>3721.6329999999998</c:v>
                      </c:pt>
                      <c:pt idx="9">
                        <c:v>3676.6329999999998</c:v>
                      </c:pt>
                      <c:pt idx="10">
                        <c:v>3631.6329999999998</c:v>
                      </c:pt>
                      <c:pt idx="11">
                        <c:v>3586.6329999999998</c:v>
                      </c:pt>
                      <c:pt idx="12">
                        <c:v>3541.6329999999998</c:v>
                      </c:pt>
                      <c:pt idx="13">
                        <c:v>3496.6329999999998</c:v>
                      </c:pt>
                      <c:pt idx="14">
                        <c:v>3451.6329999999998</c:v>
                      </c:pt>
                      <c:pt idx="15">
                        <c:v>3406.6329999999998</c:v>
                      </c:pt>
                      <c:pt idx="16">
                        <c:v>3361.6329999999998</c:v>
                      </c:pt>
                      <c:pt idx="17">
                        <c:v>3316.6329999999998</c:v>
                      </c:pt>
                      <c:pt idx="18">
                        <c:v>3271.6329999999998</c:v>
                      </c:pt>
                      <c:pt idx="19">
                        <c:v>3226.6329999999998</c:v>
                      </c:pt>
                      <c:pt idx="20">
                        <c:v>3181.6329999999998</c:v>
                      </c:pt>
                      <c:pt idx="21">
                        <c:v>3136.6329999999998</c:v>
                      </c:pt>
                      <c:pt idx="22">
                        <c:v>3091.6329999999998</c:v>
                      </c:pt>
                      <c:pt idx="23">
                        <c:v>3046.6329999999998</c:v>
                      </c:pt>
                      <c:pt idx="24">
                        <c:v>3001.6329999999998</c:v>
                      </c:pt>
                      <c:pt idx="25">
                        <c:v>2956.6329999999998</c:v>
                      </c:pt>
                      <c:pt idx="26">
                        <c:v>2911.6329999999998</c:v>
                      </c:pt>
                      <c:pt idx="27">
                        <c:v>2866.6329999999998</c:v>
                      </c:pt>
                      <c:pt idx="28">
                        <c:v>2821.6329999999998</c:v>
                      </c:pt>
                      <c:pt idx="29">
                        <c:v>2776.6329999999998</c:v>
                      </c:pt>
                      <c:pt idx="30">
                        <c:v>2731.6329999999998</c:v>
                      </c:pt>
                      <c:pt idx="31">
                        <c:v>2686.6329999999998</c:v>
                      </c:pt>
                      <c:pt idx="32">
                        <c:v>2641.6329999999998</c:v>
                      </c:pt>
                      <c:pt idx="33">
                        <c:v>2596.6329999999998</c:v>
                      </c:pt>
                      <c:pt idx="34">
                        <c:v>2551.6329999999998</c:v>
                      </c:pt>
                      <c:pt idx="35">
                        <c:v>2506.6329999999998</c:v>
                      </c:pt>
                      <c:pt idx="36">
                        <c:v>2461.6329999999998</c:v>
                      </c:pt>
                      <c:pt idx="37">
                        <c:v>2416.6329999999998</c:v>
                      </c:pt>
                      <c:pt idx="38">
                        <c:v>2371.6329999999998</c:v>
                      </c:pt>
                      <c:pt idx="39">
                        <c:v>2326.6329999999998</c:v>
                      </c:pt>
                      <c:pt idx="40">
                        <c:v>2281.6329999999998</c:v>
                      </c:pt>
                      <c:pt idx="41">
                        <c:v>2236.6329999999998</c:v>
                      </c:pt>
                      <c:pt idx="42">
                        <c:v>2191.6329999999998</c:v>
                      </c:pt>
                      <c:pt idx="43">
                        <c:v>2146.6329999999998</c:v>
                      </c:pt>
                      <c:pt idx="44">
                        <c:v>2101.6329999999998</c:v>
                      </c:pt>
                      <c:pt idx="45">
                        <c:v>2056.6329999999998</c:v>
                      </c:pt>
                      <c:pt idx="46">
                        <c:v>2011.6329999999998</c:v>
                      </c:pt>
                      <c:pt idx="47">
                        <c:v>1966.6329999999998</c:v>
                      </c:pt>
                      <c:pt idx="48">
                        <c:v>1921.6329999999998</c:v>
                      </c:pt>
                      <c:pt idx="49">
                        <c:v>1876.6329999999998</c:v>
                      </c:pt>
                      <c:pt idx="50">
                        <c:v>1831.6329999999998</c:v>
                      </c:pt>
                      <c:pt idx="51">
                        <c:v>1786.6329999999998</c:v>
                      </c:pt>
                      <c:pt idx="52">
                        <c:v>1741.6329999999998</c:v>
                      </c:pt>
                      <c:pt idx="53">
                        <c:v>1696.6329999999998</c:v>
                      </c:pt>
                      <c:pt idx="54">
                        <c:v>1651.6329999999998</c:v>
                      </c:pt>
                      <c:pt idx="55">
                        <c:v>1606.6329999999998</c:v>
                      </c:pt>
                      <c:pt idx="56">
                        <c:v>1561.6329999999998</c:v>
                      </c:pt>
                      <c:pt idx="57">
                        <c:v>1516.6329999999998</c:v>
                      </c:pt>
                      <c:pt idx="58">
                        <c:v>1471.6329999999998</c:v>
                      </c:pt>
                      <c:pt idx="59">
                        <c:v>1426.6329999999998</c:v>
                      </c:pt>
                      <c:pt idx="60">
                        <c:v>1381.6329999999998</c:v>
                      </c:pt>
                      <c:pt idx="61">
                        <c:v>1336.6329999999998</c:v>
                      </c:pt>
                      <c:pt idx="62">
                        <c:v>1291.6329999999998</c:v>
                      </c:pt>
                      <c:pt idx="63">
                        <c:v>1246.6329999999998</c:v>
                      </c:pt>
                      <c:pt idx="64">
                        <c:v>1201.6329999999998</c:v>
                      </c:pt>
                      <c:pt idx="65">
                        <c:v>1156.6329999999998</c:v>
                      </c:pt>
                      <c:pt idx="66">
                        <c:v>1111.6329999999998</c:v>
                      </c:pt>
                      <c:pt idx="67">
                        <c:v>1066.6329999999998</c:v>
                      </c:pt>
                      <c:pt idx="68">
                        <c:v>1021.6329999999998</c:v>
                      </c:pt>
                      <c:pt idx="69">
                        <c:v>976.63299999999981</c:v>
                      </c:pt>
                      <c:pt idx="70">
                        <c:v>931.63299999999981</c:v>
                      </c:pt>
                      <c:pt idx="71">
                        <c:v>886.63299999999981</c:v>
                      </c:pt>
                      <c:pt idx="72">
                        <c:v>841.63299999999981</c:v>
                      </c:pt>
                      <c:pt idx="73">
                        <c:v>796.63299999999981</c:v>
                      </c:pt>
                      <c:pt idx="74">
                        <c:v>751.63299999999981</c:v>
                      </c:pt>
                      <c:pt idx="75">
                        <c:v>706.63299999999981</c:v>
                      </c:pt>
                      <c:pt idx="76">
                        <c:v>661.63299999999981</c:v>
                      </c:pt>
                      <c:pt idx="77">
                        <c:v>616.63299999999981</c:v>
                      </c:pt>
                      <c:pt idx="78">
                        <c:v>571.63299999999981</c:v>
                      </c:pt>
                      <c:pt idx="79">
                        <c:v>526.63299999999981</c:v>
                      </c:pt>
                      <c:pt idx="80">
                        <c:v>481.63299999999981</c:v>
                      </c:pt>
                      <c:pt idx="81">
                        <c:v>436.63299999999981</c:v>
                      </c:pt>
                      <c:pt idx="82">
                        <c:v>391.63299999999981</c:v>
                      </c:pt>
                      <c:pt idx="83">
                        <c:v>346.63299999999981</c:v>
                      </c:pt>
                      <c:pt idx="84">
                        <c:v>301.63299999999981</c:v>
                      </c:pt>
                      <c:pt idx="85">
                        <c:v>256.63299999999981</c:v>
                      </c:pt>
                      <c:pt idx="86">
                        <c:v>211.63299999999981</c:v>
                      </c:pt>
                      <c:pt idx="87">
                        <c:v>166.63299999999981</c:v>
                      </c:pt>
                      <c:pt idx="88">
                        <c:v>121.63299999999981</c:v>
                      </c:pt>
                      <c:pt idx="89">
                        <c:v>76.632999999999811</c:v>
                      </c:pt>
                      <c:pt idx="90">
                        <c:v>31.632999999999811</c:v>
                      </c:pt>
                      <c:pt idx="91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Лист1!$W$5:$W$96</c15:sqref>
                        </c15:formulaRef>
                      </c:ext>
                    </c:extLst>
                    <c:numCache>
                      <c:formatCode>General</c:formatCode>
                      <c:ptCount val="92"/>
                      <c:pt idx="0">
                        <c:v>-3.4693880525082932E-4</c:v>
                      </c:pt>
                      <c:pt idx="1">
                        <c:v>44.503535711195127</c:v>
                      </c:pt>
                      <c:pt idx="2">
                        <c:v>88.01516836119481</c:v>
                      </c:pt>
                      <c:pt idx="3">
                        <c:v>130.53455101119471</c:v>
                      </c:pt>
                      <c:pt idx="4">
                        <c:v>172.06168366119482</c:v>
                      </c:pt>
                      <c:pt idx="5">
                        <c:v>212.59656631119469</c:v>
                      </c:pt>
                      <c:pt idx="6">
                        <c:v>252.13919896119478</c:v>
                      </c:pt>
                      <c:pt idx="7">
                        <c:v>290.68958161119463</c:v>
                      </c:pt>
                      <c:pt idx="8">
                        <c:v>328.24771426119469</c:v>
                      </c:pt>
                      <c:pt idx="9">
                        <c:v>364.81359691119496</c:v>
                      </c:pt>
                      <c:pt idx="10">
                        <c:v>400.38722956119454</c:v>
                      </c:pt>
                      <c:pt idx="11">
                        <c:v>434.9686122111948</c:v>
                      </c:pt>
                      <c:pt idx="12">
                        <c:v>468.55774486119481</c:v>
                      </c:pt>
                      <c:pt idx="13">
                        <c:v>501.15462751119458</c:v>
                      </c:pt>
                      <c:pt idx="14">
                        <c:v>532.75926016119502</c:v>
                      </c:pt>
                      <c:pt idx="15">
                        <c:v>563.37164281119476</c:v>
                      </c:pt>
                      <c:pt idx="16">
                        <c:v>592.99177546119472</c:v>
                      </c:pt>
                      <c:pt idx="17">
                        <c:v>621.61965811119489</c:v>
                      </c:pt>
                      <c:pt idx="18">
                        <c:v>649.25529076119437</c:v>
                      </c:pt>
                      <c:pt idx="19">
                        <c:v>675.89867341119452</c:v>
                      </c:pt>
                      <c:pt idx="20">
                        <c:v>701.54980606119489</c:v>
                      </c:pt>
                      <c:pt idx="21">
                        <c:v>726.20868871119455</c:v>
                      </c:pt>
                      <c:pt idx="22">
                        <c:v>749.87532136119489</c:v>
                      </c:pt>
                      <c:pt idx="23">
                        <c:v>772.54970401119499</c:v>
                      </c:pt>
                      <c:pt idx="24">
                        <c:v>794.23183666119485</c:v>
                      </c:pt>
                      <c:pt idx="25">
                        <c:v>814.92171931119492</c:v>
                      </c:pt>
                      <c:pt idx="26">
                        <c:v>834.6193519611943</c:v>
                      </c:pt>
                      <c:pt idx="27">
                        <c:v>853.32473461119457</c:v>
                      </c:pt>
                      <c:pt idx="28">
                        <c:v>871.03786726119461</c:v>
                      </c:pt>
                      <c:pt idx="29">
                        <c:v>887.75874991119485</c:v>
                      </c:pt>
                      <c:pt idx="30">
                        <c:v>903.48738256119464</c:v>
                      </c:pt>
                      <c:pt idx="31">
                        <c:v>918.22376521119463</c:v>
                      </c:pt>
                      <c:pt idx="32">
                        <c:v>931.96789786119461</c:v>
                      </c:pt>
                      <c:pt idx="33">
                        <c:v>944.71978051119481</c:v>
                      </c:pt>
                      <c:pt idx="34">
                        <c:v>956.47941316119477</c:v>
                      </c:pt>
                      <c:pt idx="35">
                        <c:v>967.24679581119449</c:v>
                      </c:pt>
                      <c:pt idx="36">
                        <c:v>977.02192846119442</c:v>
                      </c:pt>
                      <c:pt idx="37">
                        <c:v>985.80481111119479</c:v>
                      </c:pt>
                      <c:pt idx="38">
                        <c:v>993.5954437611947</c:v>
                      </c:pt>
                      <c:pt idx="39">
                        <c:v>1000.3938264111946</c:v>
                      </c:pt>
                      <c:pt idx="40">
                        <c:v>1006.1999590611947</c:v>
                      </c:pt>
                      <c:pt idx="41">
                        <c:v>1011.0138417111946</c:v>
                      </c:pt>
                      <c:pt idx="42">
                        <c:v>1014.8354743611947</c:v>
                      </c:pt>
                      <c:pt idx="43">
                        <c:v>1017.6648570111945</c:v>
                      </c:pt>
                      <c:pt idx="44">
                        <c:v>1019.5019896611948</c:v>
                      </c:pt>
                      <c:pt idx="45">
                        <c:v>1020.3468723111946</c:v>
                      </c:pt>
                      <c:pt idx="46">
                        <c:v>1020.1995049611947</c:v>
                      </c:pt>
                      <c:pt idx="47">
                        <c:v>1019.0598876111949</c:v>
                      </c:pt>
                      <c:pt idx="48">
                        <c:v>1016.9280202611948</c:v>
                      </c:pt>
                      <c:pt idx="49">
                        <c:v>1013.8039029111948</c:v>
                      </c:pt>
                      <c:pt idx="50">
                        <c:v>1009.6875355611947</c:v>
                      </c:pt>
                      <c:pt idx="51">
                        <c:v>1004.5789182111948</c:v>
                      </c:pt>
                      <c:pt idx="52">
                        <c:v>998.47805086119479</c:v>
                      </c:pt>
                      <c:pt idx="53">
                        <c:v>991.38493351119473</c:v>
                      </c:pt>
                      <c:pt idx="54">
                        <c:v>983.29956616119478</c:v>
                      </c:pt>
                      <c:pt idx="55">
                        <c:v>974.22194881119481</c:v>
                      </c:pt>
                      <c:pt idx="56">
                        <c:v>964.15208146119471</c:v>
                      </c:pt>
                      <c:pt idx="57">
                        <c:v>953.08996411119472</c:v>
                      </c:pt>
                      <c:pt idx="58">
                        <c:v>941.03559676119471</c:v>
                      </c:pt>
                      <c:pt idx="59">
                        <c:v>927.9889794111948</c:v>
                      </c:pt>
                      <c:pt idx="60">
                        <c:v>913.95011206119466</c:v>
                      </c:pt>
                      <c:pt idx="61">
                        <c:v>898.91899471119473</c:v>
                      </c:pt>
                      <c:pt idx="62">
                        <c:v>882.89562736119478</c:v>
                      </c:pt>
                      <c:pt idx="63">
                        <c:v>865.88001001119471</c:v>
                      </c:pt>
                      <c:pt idx="64">
                        <c:v>847.87214266119463</c:v>
                      </c:pt>
                      <c:pt idx="65">
                        <c:v>828.87202531119465</c:v>
                      </c:pt>
                      <c:pt idx="66">
                        <c:v>808.87965796119465</c:v>
                      </c:pt>
                      <c:pt idx="67">
                        <c:v>787.89504061119464</c:v>
                      </c:pt>
                      <c:pt idx="68">
                        <c:v>765.91817326119485</c:v>
                      </c:pt>
                      <c:pt idx="69">
                        <c:v>742.94905591119482</c:v>
                      </c:pt>
                      <c:pt idx="70">
                        <c:v>718.98768856119477</c:v>
                      </c:pt>
                      <c:pt idx="71">
                        <c:v>694.03407121119483</c:v>
                      </c:pt>
                      <c:pt idx="72">
                        <c:v>668.08820386119476</c:v>
                      </c:pt>
                      <c:pt idx="73">
                        <c:v>641.15008651119479</c:v>
                      </c:pt>
                      <c:pt idx="74">
                        <c:v>613.2197191611948</c:v>
                      </c:pt>
                      <c:pt idx="75">
                        <c:v>584.29710181119481</c:v>
                      </c:pt>
                      <c:pt idx="76">
                        <c:v>554.3822344611948</c:v>
                      </c:pt>
                      <c:pt idx="77">
                        <c:v>523.47511711119478</c:v>
                      </c:pt>
                      <c:pt idx="78">
                        <c:v>491.57574976119474</c:v>
                      </c:pt>
                      <c:pt idx="79">
                        <c:v>458.68413241119475</c:v>
                      </c:pt>
                      <c:pt idx="80">
                        <c:v>424.80026506119481</c:v>
                      </c:pt>
                      <c:pt idx="81">
                        <c:v>389.92414771119479</c:v>
                      </c:pt>
                      <c:pt idx="82">
                        <c:v>354.05578036119482</c:v>
                      </c:pt>
                      <c:pt idx="83">
                        <c:v>317.19516301119478</c:v>
                      </c:pt>
                      <c:pt idx="84">
                        <c:v>279.34229566119478</c:v>
                      </c:pt>
                      <c:pt idx="85">
                        <c:v>240.49717831119477</c:v>
                      </c:pt>
                      <c:pt idx="86">
                        <c:v>200.65981096119481</c:v>
                      </c:pt>
                      <c:pt idx="87">
                        <c:v>159.8301936111948</c:v>
                      </c:pt>
                      <c:pt idx="88">
                        <c:v>118.00832626119481</c:v>
                      </c:pt>
                      <c:pt idx="89">
                        <c:v>75.194208911194806</c:v>
                      </c:pt>
                      <c:pt idx="90">
                        <c:v>31.387841561194811</c:v>
                      </c:pt>
                      <c:pt idx="9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B-9D44-4297-AFAC-50E5DE2F8BE8}"/>
                  </c:ext>
                </c:extLst>
              </c15:ser>
            </c15:filteredScatterSeries>
            <c15:filteredScatter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Лист1!$Y$4</c15:sqref>
                        </c15:formulaRef>
                      </c:ext>
                    </c:extLst>
                    <c:strCache>
                      <c:ptCount val="1"/>
                      <c:pt idx="0">
                        <c:v>y, м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Лист1!$X$5:$X$84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3534.7979999999998</c:v>
                      </c:pt>
                      <c:pt idx="1">
                        <c:v>3489.7979999999998</c:v>
                      </c:pt>
                      <c:pt idx="2">
                        <c:v>3444.7979999999998</c:v>
                      </c:pt>
                      <c:pt idx="3">
                        <c:v>3399.7979999999998</c:v>
                      </c:pt>
                      <c:pt idx="4">
                        <c:v>3354.7979999999998</c:v>
                      </c:pt>
                      <c:pt idx="5">
                        <c:v>3309.7979999999998</c:v>
                      </c:pt>
                      <c:pt idx="6">
                        <c:v>3264.7979999999998</c:v>
                      </c:pt>
                      <c:pt idx="7">
                        <c:v>3219.7979999999998</c:v>
                      </c:pt>
                      <c:pt idx="8">
                        <c:v>3174.7979999999998</c:v>
                      </c:pt>
                      <c:pt idx="9">
                        <c:v>3129.7979999999998</c:v>
                      </c:pt>
                      <c:pt idx="10">
                        <c:v>3084.7979999999998</c:v>
                      </c:pt>
                      <c:pt idx="11">
                        <c:v>3039.7979999999998</c:v>
                      </c:pt>
                      <c:pt idx="12">
                        <c:v>2994.7979999999998</c:v>
                      </c:pt>
                      <c:pt idx="13">
                        <c:v>2949.7979999999998</c:v>
                      </c:pt>
                      <c:pt idx="14">
                        <c:v>2904.7979999999998</c:v>
                      </c:pt>
                      <c:pt idx="15">
                        <c:v>2859.7979999999998</c:v>
                      </c:pt>
                      <c:pt idx="16">
                        <c:v>2814.7979999999998</c:v>
                      </c:pt>
                      <c:pt idx="17">
                        <c:v>2769.7979999999998</c:v>
                      </c:pt>
                      <c:pt idx="18">
                        <c:v>2724.7979999999998</c:v>
                      </c:pt>
                      <c:pt idx="19">
                        <c:v>2679.7979999999998</c:v>
                      </c:pt>
                      <c:pt idx="20">
                        <c:v>2634.7979999999998</c:v>
                      </c:pt>
                      <c:pt idx="21">
                        <c:v>2589.7979999999998</c:v>
                      </c:pt>
                      <c:pt idx="22">
                        <c:v>2544.7979999999998</c:v>
                      </c:pt>
                      <c:pt idx="23">
                        <c:v>2499.7979999999998</c:v>
                      </c:pt>
                      <c:pt idx="24">
                        <c:v>2454.7979999999998</c:v>
                      </c:pt>
                      <c:pt idx="25">
                        <c:v>2409.7979999999998</c:v>
                      </c:pt>
                      <c:pt idx="26">
                        <c:v>2364.7979999999998</c:v>
                      </c:pt>
                      <c:pt idx="27">
                        <c:v>2319.7979999999998</c:v>
                      </c:pt>
                      <c:pt idx="28">
                        <c:v>2274.7979999999998</c:v>
                      </c:pt>
                      <c:pt idx="29">
                        <c:v>2229.7979999999998</c:v>
                      </c:pt>
                      <c:pt idx="30">
                        <c:v>2184.7979999999998</c:v>
                      </c:pt>
                      <c:pt idx="31">
                        <c:v>2139.7979999999998</c:v>
                      </c:pt>
                      <c:pt idx="32">
                        <c:v>2094.7979999999998</c:v>
                      </c:pt>
                      <c:pt idx="33">
                        <c:v>2049.7979999999998</c:v>
                      </c:pt>
                      <c:pt idx="34">
                        <c:v>2004.7979999999998</c:v>
                      </c:pt>
                      <c:pt idx="35">
                        <c:v>1959.7979999999998</c:v>
                      </c:pt>
                      <c:pt idx="36">
                        <c:v>1914.7979999999998</c:v>
                      </c:pt>
                      <c:pt idx="37">
                        <c:v>1869.7979999999998</c:v>
                      </c:pt>
                      <c:pt idx="38">
                        <c:v>1824.7979999999998</c:v>
                      </c:pt>
                      <c:pt idx="39">
                        <c:v>1779.7979999999998</c:v>
                      </c:pt>
                      <c:pt idx="40">
                        <c:v>1734.7979999999998</c:v>
                      </c:pt>
                      <c:pt idx="41">
                        <c:v>1689.7979999999998</c:v>
                      </c:pt>
                      <c:pt idx="42">
                        <c:v>1644.7979999999998</c:v>
                      </c:pt>
                      <c:pt idx="43">
                        <c:v>1599.7979999999998</c:v>
                      </c:pt>
                      <c:pt idx="44">
                        <c:v>1554.7979999999998</c:v>
                      </c:pt>
                      <c:pt idx="45">
                        <c:v>1509.7979999999998</c:v>
                      </c:pt>
                      <c:pt idx="46">
                        <c:v>1464.7979999999998</c:v>
                      </c:pt>
                      <c:pt idx="47">
                        <c:v>1419.7979999999998</c:v>
                      </c:pt>
                      <c:pt idx="48">
                        <c:v>1374.7979999999998</c:v>
                      </c:pt>
                      <c:pt idx="49">
                        <c:v>1329.7979999999998</c:v>
                      </c:pt>
                      <c:pt idx="50">
                        <c:v>1284.7979999999998</c:v>
                      </c:pt>
                      <c:pt idx="51">
                        <c:v>1239.7979999999998</c:v>
                      </c:pt>
                      <c:pt idx="52">
                        <c:v>1194.7979999999998</c:v>
                      </c:pt>
                      <c:pt idx="53">
                        <c:v>1149.7979999999998</c:v>
                      </c:pt>
                      <c:pt idx="54">
                        <c:v>1104.7979999999998</c:v>
                      </c:pt>
                      <c:pt idx="55">
                        <c:v>1059.7979999999998</c:v>
                      </c:pt>
                      <c:pt idx="56">
                        <c:v>1014.7979999999998</c:v>
                      </c:pt>
                      <c:pt idx="57">
                        <c:v>969.79799999999977</c:v>
                      </c:pt>
                      <c:pt idx="58">
                        <c:v>924.79799999999977</c:v>
                      </c:pt>
                      <c:pt idx="59">
                        <c:v>879.79799999999977</c:v>
                      </c:pt>
                      <c:pt idx="60">
                        <c:v>834.79799999999977</c:v>
                      </c:pt>
                      <c:pt idx="61">
                        <c:v>789.79799999999977</c:v>
                      </c:pt>
                      <c:pt idx="62">
                        <c:v>744.79799999999977</c:v>
                      </c:pt>
                      <c:pt idx="63">
                        <c:v>699.79799999999977</c:v>
                      </c:pt>
                      <c:pt idx="64">
                        <c:v>654.79799999999977</c:v>
                      </c:pt>
                      <c:pt idx="65">
                        <c:v>609.79799999999977</c:v>
                      </c:pt>
                      <c:pt idx="66">
                        <c:v>564.79799999999977</c:v>
                      </c:pt>
                      <c:pt idx="67">
                        <c:v>519.79799999999977</c:v>
                      </c:pt>
                      <c:pt idx="68">
                        <c:v>474.79799999999977</c:v>
                      </c:pt>
                      <c:pt idx="69">
                        <c:v>429.79799999999977</c:v>
                      </c:pt>
                      <c:pt idx="70">
                        <c:v>384.79799999999977</c:v>
                      </c:pt>
                      <c:pt idx="71">
                        <c:v>339.79799999999977</c:v>
                      </c:pt>
                      <c:pt idx="72">
                        <c:v>294.79799999999977</c:v>
                      </c:pt>
                      <c:pt idx="73">
                        <c:v>249.79799999999977</c:v>
                      </c:pt>
                      <c:pt idx="74">
                        <c:v>204.79799999999977</c:v>
                      </c:pt>
                      <c:pt idx="75">
                        <c:v>159.79799999999977</c:v>
                      </c:pt>
                      <c:pt idx="76">
                        <c:v>114.79799999999977</c:v>
                      </c:pt>
                      <c:pt idx="77">
                        <c:v>69.797999999999774</c:v>
                      </c:pt>
                      <c:pt idx="78">
                        <c:v>24.797999999999774</c:v>
                      </c:pt>
                      <c:pt idx="7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Лист1!$Y$5:$Y$84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-2.5030036931639188E-4</c:v>
                      </c:pt>
                      <c:pt idx="1">
                        <c:v>25.649768186097617</c:v>
                      </c:pt>
                      <c:pt idx="2">
                        <c:v>50.638286672564391</c:v>
                      </c:pt>
                      <c:pt idx="3">
                        <c:v>74.965305159031232</c:v>
                      </c:pt>
                      <c:pt idx="4">
                        <c:v>98.630823645497912</c:v>
                      </c:pt>
                      <c:pt idx="5">
                        <c:v>121.63484213196489</c:v>
                      </c:pt>
                      <c:pt idx="6">
                        <c:v>143.9773606184317</c:v>
                      </c:pt>
                      <c:pt idx="7">
                        <c:v>165.65837910489881</c:v>
                      </c:pt>
                      <c:pt idx="8">
                        <c:v>186.67789759136531</c:v>
                      </c:pt>
                      <c:pt idx="9">
                        <c:v>207.03591607783233</c:v>
                      </c:pt>
                      <c:pt idx="10">
                        <c:v>226.73243456429896</c:v>
                      </c:pt>
                      <c:pt idx="11">
                        <c:v>245.76745305076611</c:v>
                      </c:pt>
                      <c:pt idx="12">
                        <c:v>264.14097153723287</c:v>
                      </c:pt>
                      <c:pt idx="13">
                        <c:v>281.8529900236997</c:v>
                      </c:pt>
                      <c:pt idx="14">
                        <c:v>298.90350851016615</c:v>
                      </c:pt>
                      <c:pt idx="15">
                        <c:v>315.29252699663334</c:v>
                      </c:pt>
                      <c:pt idx="16">
                        <c:v>331.02004548310015</c:v>
                      </c:pt>
                      <c:pt idx="17">
                        <c:v>346.08606396956702</c:v>
                      </c:pt>
                      <c:pt idx="18">
                        <c:v>360.49058245603374</c:v>
                      </c:pt>
                      <c:pt idx="19">
                        <c:v>374.23360094250074</c:v>
                      </c:pt>
                      <c:pt idx="20">
                        <c:v>387.31511942896759</c:v>
                      </c:pt>
                      <c:pt idx="21">
                        <c:v>399.73513791543451</c:v>
                      </c:pt>
                      <c:pt idx="22">
                        <c:v>411.49365640190126</c:v>
                      </c:pt>
                      <c:pt idx="23">
                        <c:v>422.59067488836808</c:v>
                      </c:pt>
                      <c:pt idx="24">
                        <c:v>433.02619337483497</c:v>
                      </c:pt>
                      <c:pt idx="25">
                        <c:v>442.8002118613017</c:v>
                      </c:pt>
                      <c:pt idx="26">
                        <c:v>451.91273034776873</c:v>
                      </c:pt>
                      <c:pt idx="27">
                        <c:v>460.36374883423537</c:v>
                      </c:pt>
                      <c:pt idx="28">
                        <c:v>468.1532673207023</c:v>
                      </c:pt>
                      <c:pt idx="29">
                        <c:v>475.28128580716907</c:v>
                      </c:pt>
                      <c:pt idx="30">
                        <c:v>481.74780429363591</c:v>
                      </c:pt>
                      <c:pt idx="31">
                        <c:v>487.5528227801027</c:v>
                      </c:pt>
                      <c:pt idx="32">
                        <c:v>492.69634126656979</c:v>
                      </c:pt>
                      <c:pt idx="33">
                        <c:v>497.17835975303637</c:v>
                      </c:pt>
                      <c:pt idx="34">
                        <c:v>500.99887823950337</c:v>
                      </c:pt>
                      <c:pt idx="35">
                        <c:v>504.15789672597009</c:v>
                      </c:pt>
                      <c:pt idx="36">
                        <c:v>506.65541521243711</c:v>
                      </c:pt>
                      <c:pt idx="37">
                        <c:v>508.49143369890373</c:v>
                      </c:pt>
                      <c:pt idx="38">
                        <c:v>509.66595218537066</c:v>
                      </c:pt>
                      <c:pt idx="39">
                        <c:v>510.17897067183742</c:v>
                      </c:pt>
                      <c:pt idx="40">
                        <c:v>510.03048915830425</c:v>
                      </c:pt>
                      <c:pt idx="41">
                        <c:v>509.22050764477109</c:v>
                      </c:pt>
                      <c:pt idx="42">
                        <c:v>507.749026131238</c:v>
                      </c:pt>
                      <c:pt idx="43">
                        <c:v>505.6160446177048</c:v>
                      </c:pt>
                      <c:pt idx="44">
                        <c:v>502.82156310417162</c:v>
                      </c:pt>
                      <c:pt idx="45">
                        <c:v>499.36558159063861</c:v>
                      </c:pt>
                      <c:pt idx="46">
                        <c:v>495.24810007710545</c:v>
                      </c:pt>
                      <c:pt idx="47">
                        <c:v>490.46911856357224</c:v>
                      </c:pt>
                      <c:pt idx="48">
                        <c:v>485.02863705003909</c:v>
                      </c:pt>
                      <c:pt idx="49">
                        <c:v>478.92665553650596</c:v>
                      </c:pt>
                      <c:pt idx="50">
                        <c:v>472.16317402297273</c:v>
                      </c:pt>
                      <c:pt idx="51">
                        <c:v>464.73819250943961</c:v>
                      </c:pt>
                      <c:pt idx="52">
                        <c:v>456.65171099590646</c:v>
                      </c:pt>
                      <c:pt idx="53">
                        <c:v>447.90372948237325</c:v>
                      </c:pt>
                      <c:pt idx="54">
                        <c:v>438.49424796884011</c:v>
                      </c:pt>
                      <c:pt idx="55">
                        <c:v>428.42326645530693</c:v>
                      </c:pt>
                      <c:pt idx="56">
                        <c:v>417.69078494177381</c:v>
                      </c:pt>
                      <c:pt idx="57">
                        <c:v>406.29680342824065</c:v>
                      </c:pt>
                      <c:pt idx="58">
                        <c:v>394.24132191470744</c:v>
                      </c:pt>
                      <c:pt idx="59">
                        <c:v>381.5243404011743</c:v>
                      </c:pt>
                      <c:pt idx="60">
                        <c:v>368.14585888764111</c:v>
                      </c:pt>
                      <c:pt idx="61">
                        <c:v>354.10587737410799</c:v>
                      </c:pt>
                      <c:pt idx="62">
                        <c:v>339.40439586057482</c:v>
                      </c:pt>
                      <c:pt idx="63">
                        <c:v>324.04141434704161</c:v>
                      </c:pt>
                      <c:pt idx="64">
                        <c:v>308.01693283350846</c:v>
                      </c:pt>
                      <c:pt idx="65">
                        <c:v>291.33095131997533</c:v>
                      </c:pt>
                      <c:pt idx="66">
                        <c:v>273.98346980644214</c:v>
                      </c:pt>
                      <c:pt idx="67">
                        <c:v>255.974488292909</c:v>
                      </c:pt>
                      <c:pt idx="68">
                        <c:v>237.30400677937581</c:v>
                      </c:pt>
                      <c:pt idx="69">
                        <c:v>217.97202526584266</c:v>
                      </c:pt>
                      <c:pt idx="70">
                        <c:v>197.97854375230949</c:v>
                      </c:pt>
                      <c:pt idx="71">
                        <c:v>177.32356223877633</c:v>
                      </c:pt>
                      <c:pt idx="72">
                        <c:v>156.00708072524318</c:v>
                      </c:pt>
                      <c:pt idx="73">
                        <c:v>134.02909921171002</c:v>
                      </c:pt>
                      <c:pt idx="74">
                        <c:v>111.38961769817686</c:v>
                      </c:pt>
                      <c:pt idx="75">
                        <c:v>88.08863618464369</c:v>
                      </c:pt>
                      <c:pt idx="76">
                        <c:v>64.126154671110527</c:v>
                      </c:pt>
                      <c:pt idx="77">
                        <c:v>39.502173157577367</c:v>
                      </c:pt>
                      <c:pt idx="78">
                        <c:v>14.216691644044211</c:v>
                      </c:pt>
                      <c:pt idx="79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D44-4297-AFAC-50E5DE2F8BE8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Лист1!$AA$4</c15:sqref>
                        </c15:formulaRef>
                      </c:ext>
                    </c:extLst>
                    <c:strCache>
                      <c:ptCount val="1"/>
                      <c:pt idx="0">
                        <c:v>y, м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Лист1!$Z$5:$Z$84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3534.7979999999998</c:v>
                      </c:pt>
                      <c:pt idx="1">
                        <c:v>3489.7979999999998</c:v>
                      </c:pt>
                      <c:pt idx="2">
                        <c:v>3444.7979999999998</c:v>
                      </c:pt>
                      <c:pt idx="3">
                        <c:v>3399.7979999999998</c:v>
                      </c:pt>
                      <c:pt idx="4">
                        <c:v>3354.7979999999998</c:v>
                      </c:pt>
                      <c:pt idx="5">
                        <c:v>3309.7979999999998</c:v>
                      </c:pt>
                      <c:pt idx="6">
                        <c:v>3264.7979999999998</c:v>
                      </c:pt>
                      <c:pt idx="7">
                        <c:v>3219.7979999999998</c:v>
                      </c:pt>
                      <c:pt idx="8">
                        <c:v>3174.7979999999998</c:v>
                      </c:pt>
                      <c:pt idx="9">
                        <c:v>3129.7979999999998</c:v>
                      </c:pt>
                      <c:pt idx="10">
                        <c:v>3084.7979999999998</c:v>
                      </c:pt>
                      <c:pt idx="11">
                        <c:v>3039.7979999999998</c:v>
                      </c:pt>
                      <c:pt idx="12">
                        <c:v>2994.7979999999998</c:v>
                      </c:pt>
                      <c:pt idx="13">
                        <c:v>2949.7979999999998</c:v>
                      </c:pt>
                      <c:pt idx="14">
                        <c:v>2904.7979999999998</c:v>
                      </c:pt>
                      <c:pt idx="15">
                        <c:v>2859.7979999999998</c:v>
                      </c:pt>
                      <c:pt idx="16">
                        <c:v>2814.7979999999998</c:v>
                      </c:pt>
                      <c:pt idx="17">
                        <c:v>2769.7979999999998</c:v>
                      </c:pt>
                      <c:pt idx="18">
                        <c:v>2724.7979999999998</c:v>
                      </c:pt>
                      <c:pt idx="19">
                        <c:v>2679.7979999999998</c:v>
                      </c:pt>
                      <c:pt idx="20">
                        <c:v>2634.7979999999998</c:v>
                      </c:pt>
                      <c:pt idx="21">
                        <c:v>2589.7979999999998</c:v>
                      </c:pt>
                      <c:pt idx="22">
                        <c:v>2544.7979999999998</c:v>
                      </c:pt>
                      <c:pt idx="23">
                        <c:v>2499.7979999999998</c:v>
                      </c:pt>
                      <c:pt idx="24">
                        <c:v>2454.7979999999998</c:v>
                      </c:pt>
                      <c:pt idx="25">
                        <c:v>2409.7979999999998</c:v>
                      </c:pt>
                      <c:pt idx="26">
                        <c:v>2364.7979999999998</c:v>
                      </c:pt>
                      <c:pt idx="27">
                        <c:v>2319.7979999999998</c:v>
                      </c:pt>
                      <c:pt idx="28">
                        <c:v>2274.7979999999998</c:v>
                      </c:pt>
                      <c:pt idx="29">
                        <c:v>2229.7979999999998</c:v>
                      </c:pt>
                      <c:pt idx="30">
                        <c:v>2184.7979999999998</c:v>
                      </c:pt>
                      <c:pt idx="31">
                        <c:v>2139.7979999999998</c:v>
                      </c:pt>
                      <c:pt idx="32">
                        <c:v>2094.7979999999998</c:v>
                      </c:pt>
                      <c:pt idx="33">
                        <c:v>2049.7979999999998</c:v>
                      </c:pt>
                      <c:pt idx="34">
                        <c:v>2004.7979999999998</c:v>
                      </c:pt>
                      <c:pt idx="35">
                        <c:v>1959.7979999999998</c:v>
                      </c:pt>
                      <c:pt idx="36">
                        <c:v>1914.7979999999998</c:v>
                      </c:pt>
                      <c:pt idx="37">
                        <c:v>1869.7979999999998</c:v>
                      </c:pt>
                      <c:pt idx="38">
                        <c:v>1824.7979999999998</c:v>
                      </c:pt>
                      <c:pt idx="39">
                        <c:v>1779.7979999999998</c:v>
                      </c:pt>
                      <c:pt idx="40">
                        <c:v>1734.7979999999998</c:v>
                      </c:pt>
                      <c:pt idx="41">
                        <c:v>1689.7979999999998</c:v>
                      </c:pt>
                      <c:pt idx="42">
                        <c:v>1644.7979999999998</c:v>
                      </c:pt>
                      <c:pt idx="43">
                        <c:v>1599.7979999999998</c:v>
                      </c:pt>
                      <c:pt idx="44">
                        <c:v>1554.7979999999998</c:v>
                      </c:pt>
                      <c:pt idx="45">
                        <c:v>1509.7979999999998</c:v>
                      </c:pt>
                      <c:pt idx="46">
                        <c:v>1464.7979999999998</c:v>
                      </c:pt>
                      <c:pt idx="47">
                        <c:v>1419.7979999999998</c:v>
                      </c:pt>
                      <c:pt idx="48">
                        <c:v>1374.7979999999998</c:v>
                      </c:pt>
                      <c:pt idx="49">
                        <c:v>1329.7979999999998</c:v>
                      </c:pt>
                      <c:pt idx="50">
                        <c:v>1284.7979999999998</c:v>
                      </c:pt>
                      <c:pt idx="51">
                        <c:v>1239.7979999999998</c:v>
                      </c:pt>
                      <c:pt idx="52">
                        <c:v>1194.7979999999998</c:v>
                      </c:pt>
                      <c:pt idx="53">
                        <c:v>1149.7979999999998</c:v>
                      </c:pt>
                      <c:pt idx="54">
                        <c:v>1104.7979999999998</c:v>
                      </c:pt>
                      <c:pt idx="55">
                        <c:v>1059.7979999999998</c:v>
                      </c:pt>
                      <c:pt idx="56">
                        <c:v>1014.7979999999998</c:v>
                      </c:pt>
                      <c:pt idx="57">
                        <c:v>969.79799999999977</c:v>
                      </c:pt>
                      <c:pt idx="58">
                        <c:v>924.79799999999977</c:v>
                      </c:pt>
                      <c:pt idx="59">
                        <c:v>879.79799999999977</c:v>
                      </c:pt>
                      <c:pt idx="60">
                        <c:v>834.79799999999977</c:v>
                      </c:pt>
                      <c:pt idx="61">
                        <c:v>789.79799999999977</c:v>
                      </c:pt>
                      <c:pt idx="62">
                        <c:v>744.79799999999977</c:v>
                      </c:pt>
                      <c:pt idx="63">
                        <c:v>699.79799999999977</c:v>
                      </c:pt>
                      <c:pt idx="64">
                        <c:v>654.79799999999977</c:v>
                      </c:pt>
                      <c:pt idx="65">
                        <c:v>609.79799999999977</c:v>
                      </c:pt>
                      <c:pt idx="66">
                        <c:v>564.79799999999977</c:v>
                      </c:pt>
                      <c:pt idx="67">
                        <c:v>519.79799999999977</c:v>
                      </c:pt>
                      <c:pt idx="68">
                        <c:v>474.79799999999977</c:v>
                      </c:pt>
                      <c:pt idx="69">
                        <c:v>429.79799999999977</c:v>
                      </c:pt>
                      <c:pt idx="70">
                        <c:v>384.79799999999977</c:v>
                      </c:pt>
                      <c:pt idx="71">
                        <c:v>339.79799999999977</c:v>
                      </c:pt>
                      <c:pt idx="72">
                        <c:v>294.79799999999977</c:v>
                      </c:pt>
                      <c:pt idx="73">
                        <c:v>249.79799999999977</c:v>
                      </c:pt>
                      <c:pt idx="74">
                        <c:v>204.79799999999977</c:v>
                      </c:pt>
                      <c:pt idx="75">
                        <c:v>159.79799999999977</c:v>
                      </c:pt>
                      <c:pt idx="76">
                        <c:v>114.79799999999977</c:v>
                      </c:pt>
                      <c:pt idx="77">
                        <c:v>69.797999999999774</c:v>
                      </c:pt>
                      <c:pt idx="78">
                        <c:v>24.797999999999774</c:v>
                      </c:pt>
                      <c:pt idx="79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Лист1!$AA$5:$AA$84</c15:sqref>
                        </c15:formulaRef>
                      </c:ext>
                    </c:extLst>
                    <c:numCache>
                      <c:formatCode>General</c:formatCode>
                      <c:ptCount val="80"/>
                      <c:pt idx="0">
                        <c:v>-7.5090110749442829E-4</c:v>
                      </c:pt>
                      <c:pt idx="1">
                        <c:v>76.949304558293079</c:v>
                      </c:pt>
                      <c:pt idx="2">
                        <c:v>151.91486001769408</c:v>
                      </c:pt>
                      <c:pt idx="3">
                        <c:v>224.89591547709369</c:v>
                      </c:pt>
                      <c:pt idx="4">
                        <c:v>295.89247093649465</c:v>
                      </c:pt>
                      <c:pt idx="5">
                        <c:v>364.90452639589512</c:v>
                      </c:pt>
                      <c:pt idx="6">
                        <c:v>431.93208185529511</c:v>
                      </c:pt>
                      <c:pt idx="7">
                        <c:v>496.97513731469644</c:v>
                      </c:pt>
                      <c:pt idx="8">
                        <c:v>560.03369277409547</c:v>
                      </c:pt>
                      <c:pt idx="9">
                        <c:v>621.10774823349675</c:v>
                      </c:pt>
                      <c:pt idx="10">
                        <c:v>680.19730369289755</c:v>
                      </c:pt>
                      <c:pt idx="11">
                        <c:v>737.30235915229787</c:v>
                      </c:pt>
                      <c:pt idx="12">
                        <c:v>792.42291461169862</c:v>
                      </c:pt>
                      <c:pt idx="13">
                        <c:v>845.55897007109888</c:v>
                      </c:pt>
                      <c:pt idx="14">
                        <c:v>896.71052553049958</c:v>
                      </c:pt>
                      <c:pt idx="15">
                        <c:v>945.8775809898998</c:v>
                      </c:pt>
                      <c:pt idx="16">
                        <c:v>993.06013644929999</c:v>
                      </c:pt>
                      <c:pt idx="17">
                        <c:v>1038.2581919087011</c:v>
                      </c:pt>
                      <c:pt idx="18">
                        <c:v>1081.4717473681012</c:v>
                      </c:pt>
                      <c:pt idx="19">
                        <c:v>1122.7008028275022</c:v>
                      </c:pt>
                      <c:pt idx="20">
                        <c:v>1161.9453582869023</c:v>
                      </c:pt>
                      <c:pt idx="21">
                        <c:v>1199.2054137463037</c:v>
                      </c:pt>
                      <c:pt idx="22">
                        <c:v>1234.4809692057033</c:v>
                      </c:pt>
                      <c:pt idx="23">
                        <c:v>1267.7720246651038</c:v>
                      </c:pt>
                      <c:pt idx="24">
                        <c:v>1299.0785801245042</c:v>
                      </c:pt>
                      <c:pt idx="25">
                        <c:v>1328.4006355839047</c:v>
                      </c:pt>
                      <c:pt idx="26">
                        <c:v>1355.7381910433055</c:v>
                      </c:pt>
                      <c:pt idx="27">
                        <c:v>1381.0912465027059</c:v>
                      </c:pt>
                      <c:pt idx="28">
                        <c:v>1404.4598019621067</c:v>
                      </c:pt>
                      <c:pt idx="29">
                        <c:v>1425.843857421507</c:v>
                      </c:pt>
                      <c:pt idx="30">
                        <c:v>1445.2434128809073</c:v>
                      </c:pt>
                      <c:pt idx="31">
                        <c:v>1462.658468340308</c:v>
                      </c:pt>
                      <c:pt idx="32">
                        <c:v>1478.0890237997087</c:v>
                      </c:pt>
                      <c:pt idx="33">
                        <c:v>1491.5350792591089</c:v>
                      </c:pt>
                      <c:pt idx="34">
                        <c:v>1502.9966347185098</c:v>
                      </c:pt>
                      <c:pt idx="35">
                        <c:v>1512.4736901779097</c:v>
                      </c:pt>
                      <c:pt idx="36">
                        <c:v>1519.9662456373105</c:v>
                      </c:pt>
                      <c:pt idx="37">
                        <c:v>1525.4743010967111</c:v>
                      </c:pt>
                      <c:pt idx="38">
                        <c:v>1528.9978565561116</c:v>
                      </c:pt>
                      <c:pt idx="39">
                        <c:v>1530.5369120155124</c:v>
                      </c:pt>
                      <c:pt idx="40">
                        <c:v>1530.0914674749124</c:v>
                      </c:pt>
                      <c:pt idx="41">
                        <c:v>1527.6615229343129</c:v>
                      </c:pt>
                      <c:pt idx="42">
                        <c:v>1523.2470783937138</c:v>
                      </c:pt>
                      <c:pt idx="43">
                        <c:v>1516.8481338531142</c:v>
                      </c:pt>
                      <c:pt idx="44">
                        <c:v>1508.4646893125148</c:v>
                      </c:pt>
                      <c:pt idx="45">
                        <c:v>1498.0967447719152</c:v>
                      </c:pt>
                      <c:pt idx="46">
                        <c:v>1485.7443002313157</c:v>
                      </c:pt>
                      <c:pt idx="47">
                        <c:v>1471.407355690716</c:v>
                      </c:pt>
                      <c:pt idx="48">
                        <c:v>1455.0859111501168</c:v>
                      </c:pt>
                      <c:pt idx="49">
                        <c:v>1436.7799666095175</c:v>
                      </c:pt>
                      <c:pt idx="50">
                        <c:v>1416.4895220689177</c:v>
                      </c:pt>
                      <c:pt idx="51">
                        <c:v>1394.2145775283182</c:v>
                      </c:pt>
                      <c:pt idx="52">
                        <c:v>1369.955132987719</c:v>
                      </c:pt>
                      <c:pt idx="53">
                        <c:v>1343.7111884471194</c:v>
                      </c:pt>
                      <c:pt idx="54">
                        <c:v>1315.4827439065198</c:v>
                      </c:pt>
                      <c:pt idx="55">
                        <c:v>1285.2697993659203</c:v>
                      </c:pt>
                      <c:pt idx="56">
                        <c:v>1253.0723548253211</c:v>
                      </c:pt>
                      <c:pt idx="57">
                        <c:v>1218.8904102847214</c:v>
                      </c:pt>
                      <c:pt idx="58">
                        <c:v>1182.7239657441221</c:v>
                      </c:pt>
                      <c:pt idx="59">
                        <c:v>1144.5730212035223</c:v>
                      </c:pt>
                      <c:pt idx="60">
                        <c:v>1104.437576662923</c:v>
                      </c:pt>
                      <c:pt idx="61">
                        <c:v>1062.3176321223236</c:v>
                      </c:pt>
                      <c:pt idx="62">
                        <c:v>1018.213187581724</c:v>
                      </c:pt>
                      <c:pt idx="63">
                        <c:v>972.1242430411246</c:v>
                      </c:pt>
                      <c:pt idx="64">
                        <c:v>924.05079850052527</c:v>
                      </c:pt>
                      <c:pt idx="65">
                        <c:v>873.9928539599257</c:v>
                      </c:pt>
                      <c:pt idx="66">
                        <c:v>821.95040941932621</c:v>
                      </c:pt>
                      <c:pt idx="67">
                        <c:v>767.9234648787268</c:v>
                      </c:pt>
                      <c:pt idx="68">
                        <c:v>711.91202033812726</c:v>
                      </c:pt>
                      <c:pt idx="69">
                        <c:v>653.91607579752781</c:v>
                      </c:pt>
                      <c:pt idx="70">
                        <c:v>593.93563125692833</c:v>
                      </c:pt>
                      <c:pt idx="71">
                        <c:v>531.97068671632894</c:v>
                      </c:pt>
                      <c:pt idx="72">
                        <c:v>468.02124217572941</c:v>
                      </c:pt>
                      <c:pt idx="73">
                        <c:v>402.08729763512991</c:v>
                      </c:pt>
                      <c:pt idx="74">
                        <c:v>334.1688530945305</c:v>
                      </c:pt>
                      <c:pt idx="75">
                        <c:v>264.26590855393101</c:v>
                      </c:pt>
                      <c:pt idx="76">
                        <c:v>192.37846401333155</c:v>
                      </c:pt>
                      <c:pt idx="77">
                        <c:v>118.50651947273208</c:v>
                      </c:pt>
                      <c:pt idx="78">
                        <c:v>42.650074932132618</c:v>
                      </c:pt>
                      <c:pt idx="79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D44-4297-AFAC-50E5DE2F8BE8}"/>
                  </c:ext>
                </c:extLst>
              </c15:ser>
            </c15:filteredScatterSeries>
          </c:ext>
        </c:extLst>
      </c:scatterChart>
      <c:valAx>
        <c:axId val="204201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015263"/>
        <c:crosses val="autoZero"/>
        <c:crossBetween val="midCat"/>
      </c:valAx>
      <c:valAx>
        <c:axId val="204201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2013599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735105</xdr:colOff>
      <xdr:row>3</xdr:row>
      <xdr:rowOff>4482</xdr:rowOff>
    </xdr:from>
    <xdr:to>
      <xdr:col>20</xdr:col>
      <xdr:colOff>242046</xdr:colOff>
      <xdr:row>16</xdr:row>
      <xdr:rowOff>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735105</xdr:colOff>
      <xdr:row>2</xdr:row>
      <xdr:rowOff>210671</xdr:rowOff>
    </xdr:from>
    <xdr:to>
      <xdr:col>9</xdr:col>
      <xdr:colOff>385481</xdr:colOff>
      <xdr:row>16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466167</xdr:colOff>
      <xdr:row>5</xdr:row>
      <xdr:rowOff>161365</xdr:rowOff>
    </xdr:from>
    <xdr:to>
      <xdr:col>15</xdr:col>
      <xdr:colOff>179295</xdr:colOff>
      <xdr:row>7</xdr:row>
      <xdr:rowOff>8965</xdr:rowOff>
    </xdr:to>
    <xdr:sp macro="" textlink="">
      <xdr:nvSpPr>
        <xdr:cNvPr id="10" name="TextBox 1"/>
        <xdr:cNvSpPr txBox="1"/>
      </xdr:nvSpPr>
      <xdr:spPr>
        <a:xfrm>
          <a:off x="10757649" y="1290918"/>
          <a:ext cx="448234" cy="27790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y,</a:t>
          </a:r>
          <a:r>
            <a:rPr lang="en-US" sz="1100" baseline="0"/>
            <a:t> </a:t>
          </a:r>
          <a:r>
            <a:rPr lang="ru-RU" sz="1100" baseline="0"/>
            <a:t>м</a:t>
          </a:r>
          <a:endParaRPr lang="ru-RU" sz="1100"/>
        </a:p>
      </xdr:txBody>
    </xdr:sp>
    <xdr:clientData/>
  </xdr:twoCellAnchor>
  <xdr:twoCellAnchor>
    <xdr:from>
      <xdr:col>28</xdr:col>
      <xdr:colOff>0</xdr:colOff>
      <xdr:row>3</xdr:row>
      <xdr:rowOff>4481</xdr:rowOff>
    </xdr:from>
    <xdr:to>
      <xdr:col>34</xdr:col>
      <xdr:colOff>268941</xdr:colOff>
      <xdr:row>16</xdr:row>
      <xdr:rowOff>8964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439272</xdr:colOff>
      <xdr:row>4</xdr:row>
      <xdr:rowOff>134471</xdr:rowOff>
    </xdr:from>
    <xdr:to>
      <xdr:col>29</xdr:col>
      <xdr:colOff>152400</xdr:colOff>
      <xdr:row>5</xdr:row>
      <xdr:rowOff>197224</xdr:rowOff>
    </xdr:to>
    <xdr:sp macro="" textlink="">
      <xdr:nvSpPr>
        <xdr:cNvPr id="9" name="TextBox 1"/>
        <xdr:cNvSpPr txBox="1"/>
      </xdr:nvSpPr>
      <xdr:spPr>
        <a:xfrm>
          <a:off x="21022237" y="1048871"/>
          <a:ext cx="448234" cy="277906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y,</a:t>
          </a:r>
          <a:r>
            <a:rPr lang="en-US" sz="1100" baseline="0"/>
            <a:t> </a:t>
          </a:r>
          <a:r>
            <a:rPr lang="ru-RU" sz="1100" baseline="0"/>
            <a:t>м</a:t>
          </a:r>
          <a:endParaRPr lang="ru-RU" sz="1100"/>
        </a:p>
      </xdr:txBody>
    </xdr:sp>
    <xdr:clientData/>
  </xdr:twoCellAnchor>
  <xdr:twoCellAnchor>
    <xdr:from>
      <xdr:col>33</xdr:col>
      <xdr:colOff>367553</xdr:colOff>
      <xdr:row>12</xdr:row>
      <xdr:rowOff>143435</xdr:rowOff>
    </xdr:from>
    <xdr:to>
      <xdr:col>34</xdr:col>
      <xdr:colOff>98646</xdr:colOff>
      <xdr:row>13</xdr:row>
      <xdr:rowOff>152410</xdr:rowOff>
    </xdr:to>
    <xdr:sp macro="" textlink="">
      <xdr:nvSpPr>
        <xdr:cNvPr id="11" name="TextBox 1"/>
        <xdr:cNvSpPr txBox="1"/>
      </xdr:nvSpPr>
      <xdr:spPr>
        <a:xfrm>
          <a:off x="24626047" y="2779059"/>
          <a:ext cx="466199" cy="224127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100"/>
            <a:t>x,</a:t>
          </a:r>
          <a:r>
            <a:rPr lang="en-US" sz="1100" baseline="0"/>
            <a:t> </a:t>
          </a:r>
          <a:r>
            <a:rPr lang="ru-RU" sz="1100" baseline="0"/>
            <a:t>м</a:t>
          </a:r>
          <a:endParaRPr lang="ru-RU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0.87861</cdr:x>
      <cdr:y>0.76886</cdr:y>
    </cdr:from>
    <cdr:to>
      <cdr:x>0.97881</cdr:x>
      <cdr:y>0.84912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087906" y="2147047"/>
          <a:ext cx="466165" cy="224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x,</a:t>
          </a:r>
          <a:r>
            <a:rPr lang="en-US" sz="1100" baseline="0"/>
            <a:t> </a:t>
          </a:r>
          <a:r>
            <a:rPr lang="ru-RU" sz="1100" baseline="0"/>
            <a:t>м</a:t>
          </a:r>
          <a:endParaRPr lang="ru-RU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0.09907</cdr:x>
      <cdr:y>0.2032</cdr:y>
    </cdr:from>
    <cdr:to>
      <cdr:x>0.20374</cdr:x>
      <cdr:y>0.2928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75130" y="569258"/>
          <a:ext cx="502024" cy="2510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s, </a:t>
          </a:r>
          <a:r>
            <a:rPr lang="ru-RU" sz="1100"/>
            <a:t>м</a:t>
          </a:r>
        </a:p>
      </cdr:txBody>
    </cdr:sp>
  </cdr:relSizeAnchor>
  <cdr:relSizeAnchor xmlns:cdr="http://schemas.openxmlformats.org/drawingml/2006/chartDrawing">
    <cdr:from>
      <cdr:x>0.84486</cdr:x>
      <cdr:y>0.488</cdr:y>
    </cdr:from>
    <cdr:to>
      <cdr:x>0.98131</cdr:x>
      <cdr:y>0.5776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052048" y="1367118"/>
          <a:ext cx="654423" cy="2510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1100"/>
            <a:t>α</a:t>
          </a:r>
          <a:r>
            <a:rPr lang="ru-RU" sz="1100"/>
            <a:t>, град.</a:t>
          </a: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8"/>
  <sheetViews>
    <sheetView tabSelected="1" topLeftCell="P1" zoomScale="85" zoomScaleNormal="85" workbookViewId="0">
      <selection activeCell="AF21" sqref="AF21"/>
    </sheetView>
  </sheetViews>
  <sheetFormatPr defaultRowHeight="16.8" x14ac:dyDescent="0.3"/>
  <cols>
    <col min="27" max="27" width="8.81640625" customWidth="1"/>
  </cols>
  <sheetData>
    <row r="1" spans="1:29" ht="21" x14ac:dyDescent="0.45">
      <c r="A1" s="3" t="s">
        <v>0</v>
      </c>
      <c r="B1" s="3" t="s">
        <v>3</v>
      </c>
      <c r="C1" s="4" t="s">
        <v>1</v>
      </c>
      <c r="D1" s="3" t="s">
        <v>2</v>
      </c>
      <c r="V1" s="3" t="s">
        <v>0</v>
      </c>
      <c r="W1" s="3" t="s">
        <v>2</v>
      </c>
      <c r="X1" s="3" t="s">
        <v>3</v>
      </c>
      <c r="Y1" s="4" t="s">
        <v>11</v>
      </c>
      <c r="Z1" s="3" t="s">
        <v>3</v>
      </c>
      <c r="AA1" s="4" t="s">
        <v>11</v>
      </c>
      <c r="AB1" s="3" t="s">
        <v>3</v>
      </c>
      <c r="AC1" s="4" t="s">
        <v>11</v>
      </c>
    </row>
    <row r="2" spans="1:29" x14ac:dyDescent="0.3">
      <c r="A2" s="2">
        <v>70</v>
      </c>
      <c r="B2" s="2">
        <v>200</v>
      </c>
      <c r="C2" s="2">
        <v>58</v>
      </c>
      <c r="D2" s="2">
        <v>9.8000000000000007</v>
      </c>
      <c r="V2" s="2">
        <v>0</v>
      </c>
      <c r="W2" s="2">
        <v>9.8000000000000007</v>
      </c>
      <c r="X2" s="2">
        <v>200</v>
      </c>
      <c r="Y2" s="2">
        <v>45</v>
      </c>
      <c r="Z2" s="2">
        <v>200</v>
      </c>
      <c r="AA2" s="2">
        <v>30</v>
      </c>
      <c r="AB2" s="2">
        <v>200</v>
      </c>
      <c r="AC2" s="2">
        <v>60</v>
      </c>
    </row>
    <row r="4" spans="1:29" x14ac:dyDescent="0.3">
      <c r="A4" s="3" t="s">
        <v>1</v>
      </c>
      <c r="B4" s="3" t="s">
        <v>5</v>
      </c>
      <c r="L4" s="3" t="s">
        <v>4</v>
      </c>
      <c r="M4" s="3" t="s">
        <v>6</v>
      </c>
      <c r="V4" s="3" t="s">
        <v>4</v>
      </c>
      <c r="W4" s="3" t="s">
        <v>6</v>
      </c>
      <c r="X4" s="3" t="s">
        <v>4</v>
      </c>
      <c r="Y4" s="3" t="s">
        <v>6</v>
      </c>
      <c r="Z4" s="3" t="s">
        <v>4</v>
      </c>
      <c r="AA4" s="3" t="s">
        <v>6</v>
      </c>
    </row>
    <row r="5" spans="1:29" x14ac:dyDescent="0.3">
      <c r="A5" s="6">
        <v>0</v>
      </c>
      <c r="B5" s="5">
        <f xml:space="preserve"> (($B$2^2)*SIN(RADIANS(A5))*COS(RADIANS(A5)) + ($B$2*COS(RADIANS(A5)) * SQRT($B$2^2 * (SIN(RADIANS(A5)))^2+2*$D$2*$A$2)))/($D$2)</f>
        <v>755.92894601845444</v>
      </c>
      <c r="L5">
        <f xml:space="preserve"> B63</f>
        <v>3711.7785289200197</v>
      </c>
      <c r="M5">
        <f xml:space="preserve"> -$D$2/(2*($B$2)^2*(COS(RADIANS($C$2)))^2)*(L5)^2 + TAN(RADIANS($C$2))*L5</f>
        <v>-70</v>
      </c>
      <c r="V5">
        <v>4081.6329999999998</v>
      </c>
      <c r="W5">
        <f xml:space="preserve"> -$W$2/(2*($X$2)^2*(COS(RADIANS($Y$2)))^2)*(V5)^2 + TAN(RADIANS($Y$2))*V5</f>
        <v>-3.4693880525082932E-4</v>
      </c>
      <c r="X5">
        <v>3534.7979999999998</v>
      </c>
      <c r="Y5">
        <f xml:space="preserve"> -$W$2/(2*($Z$2)^2*(COS(RADIANS($AA$2)))^2)*(X5)^2 + TAN(RADIANS($AA$2))*X5</f>
        <v>-2.5030036931639188E-4</v>
      </c>
      <c r="Z5">
        <v>3534.7979999999998</v>
      </c>
      <c r="AA5">
        <f xml:space="preserve"> -$W$2/(2*($Z$2)^2*(COS(RADIANS($AC$2)))^2)*(Z5)^2 + TAN(RADIANS($AC$2))*Z5</f>
        <v>-7.5090110749442829E-4</v>
      </c>
    </row>
    <row r="6" spans="1:29" x14ac:dyDescent="0.3">
      <c r="A6" s="1">
        <v>1</v>
      </c>
      <c r="B6" s="1">
        <f t="shared" ref="B6:B36" si="0" xml:space="preserve"> (($B$2^2)*SIN(RADIANS(A6))*COS(RADIANS(A6)) + ($B$2*COS(RADIANS(A6)) * SQRT($B$2^2 * (SIN(RADIANS(A6)))^2+2*$D$2*$A$2)))/($D$2)</f>
        <v>830.38570068010154</v>
      </c>
      <c r="L6">
        <f xml:space="preserve"> L5 - 15</f>
        <v>3696.7785289200197</v>
      </c>
      <c r="M6">
        <f t="shared" ref="M6:M68" si="1" xml:space="preserve"> -$D$2/(2*($B$2)^2*(COS(RADIANS($C$2)))^2)*(L6)^2 + TAN(RADIANS($C$2))*L6</f>
        <v>-45.527367558673177</v>
      </c>
      <c r="V6">
        <f>V5 - 45</f>
        <v>4036.6329999999998</v>
      </c>
      <c r="W6">
        <f t="shared" ref="W6:W69" si="2" xml:space="preserve"> -$W$2/(2*($X$2)^2*(COS(RADIANS($Y$2)))^2)*(V6)^2 + TAN(RADIANS($Y$2))*V6</f>
        <v>44.503535711195127</v>
      </c>
      <c r="X6">
        <f xml:space="preserve"> X5 - 45</f>
        <v>3489.7979999999998</v>
      </c>
      <c r="Y6">
        <f t="shared" ref="Y6:Y69" si="3" xml:space="preserve"> -$W$2/(2*($Z$2)^2*(COS(RADIANS($AA$2)))^2)*(X6)^2 + TAN(RADIANS($AA$2))*X6</f>
        <v>25.649768186097617</v>
      </c>
      <c r="Z6">
        <f xml:space="preserve"> Z5 - 45</f>
        <v>3489.7979999999998</v>
      </c>
      <c r="AA6">
        <f t="shared" ref="AA6:AA69" si="4" xml:space="preserve"> -$W$2/(2*($Z$2)^2*(COS(RADIANS($AC$2)))^2)*(Z6)^2 + TAN(RADIANS($AC$2))*Z6</f>
        <v>76.949304558293079</v>
      </c>
    </row>
    <row r="7" spans="1:29" x14ac:dyDescent="0.3">
      <c r="A7" s="1">
        <v>2</v>
      </c>
      <c r="B7" s="1">
        <f t="shared" si="0"/>
        <v>911.12474270989799</v>
      </c>
      <c r="L7">
        <f xml:space="preserve"> L6 - 15</f>
        <v>3681.7785289200197</v>
      </c>
      <c r="M7">
        <f t="shared" si="1"/>
        <v>-21.251039134438543</v>
      </c>
      <c r="V7">
        <f>V6 - 45</f>
        <v>3991.6329999999998</v>
      </c>
      <c r="W7">
        <f t="shared" si="2"/>
        <v>88.01516836119481</v>
      </c>
      <c r="X7">
        <f xml:space="preserve"> X6 - 45</f>
        <v>3444.7979999999998</v>
      </c>
      <c r="Y7">
        <f t="shared" si="3"/>
        <v>50.638286672564391</v>
      </c>
      <c r="Z7">
        <f xml:space="preserve"> Z6 - 45</f>
        <v>3444.7979999999998</v>
      </c>
      <c r="AA7">
        <f t="shared" si="4"/>
        <v>151.91486001769408</v>
      </c>
    </row>
    <row r="8" spans="1:29" x14ac:dyDescent="0.3">
      <c r="A8" s="1">
        <v>3</v>
      </c>
      <c r="B8" s="1">
        <f t="shared" si="0"/>
        <v>997.77879104307681</v>
      </c>
      <c r="L8">
        <f t="shared" ref="L8:L10" si="5" xml:space="preserve"> L7 - 15</f>
        <v>3666.7785289200197</v>
      </c>
      <c r="M8">
        <f t="shared" si="1"/>
        <v>2.8289852727039033</v>
      </c>
      <c r="V8">
        <f>V7 - 45</f>
        <v>3946.6329999999998</v>
      </c>
      <c r="W8">
        <f t="shared" si="2"/>
        <v>130.53455101119471</v>
      </c>
      <c r="X8">
        <f xml:space="preserve"> X7 - 45</f>
        <v>3399.7979999999998</v>
      </c>
      <c r="Y8">
        <f t="shared" si="3"/>
        <v>74.965305159031232</v>
      </c>
      <c r="Z8">
        <f xml:space="preserve"> Z7 - 45</f>
        <v>3399.7979999999998</v>
      </c>
      <c r="AA8">
        <f t="shared" si="4"/>
        <v>224.89591547709369</v>
      </c>
    </row>
    <row r="9" spans="1:29" x14ac:dyDescent="0.3">
      <c r="A9" s="1">
        <v>4</v>
      </c>
      <c r="B9" s="1">
        <f t="shared" si="0"/>
        <v>1089.830190836851</v>
      </c>
      <c r="L9">
        <f t="shared" si="5"/>
        <v>3651.7785289200197</v>
      </c>
      <c r="M9">
        <f t="shared" si="1"/>
        <v>26.712705662754161</v>
      </c>
      <c r="V9">
        <f t="shared" ref="V9:V70" si="6">V8 - 45</f>
        <v>3901.6329999999998</v>
      </c>
      <c r="W9">
        <f t="shared" si="2"/>
        <v>172.06168366119482</v>
      </c>
      <c r="X9">
        <f t="shared" ref="X9:X70" si="7" xml:space="preserve"> X8 - 45</f>
        <v>3354.7979999999998</v>
      </c>
      <c r="Y9">
        <f t="shared" si="3"/>
        <v>98.630823645497912</v>
      </c>
      <c r="Z9">
        <f t="shared" ref="Z9:Z72" si="8" xml:space="preserve"> Z8 - 45</f>
        <v>3354.7979999999998</v>
      </c>
      <c r="AA9">
        <f t="shared" si="4"/>
        <v>295.89247093649465</v>
      </c>
    </row>
    <row r="10" spans="1:29" x14ac:dyDescent="0.3">
      <c r="A10" s="1">
        <v>5</v>
      </c>
      <c r="B10" s="1">
        <f t="shared" si="0"/>
        <v>1186.6556109886844</v>
      </c>
      <c r="L10">
        <f t="shared" si="5"/>
        <v>3636.7785289200197</v>
      </c>
      <c r="M10">
        <f t="shared" si="1"/>
        <v>50.400122035714048</v>
      </c>
      <c r="V10">
        <f t="shared" si="6"/>
        <v>3856.6329999999998</v>
      </c>
      <c r="W10">
        <f t="shared" si="2"/>
        <v>212.59656631119469</v>
      </c>
      <c r="X10">
        <f t="shared" si="7"/>
        <v>3309.7979999999998</v>
      </c>
      <c r="Y10">
        <f t="shared" si="3"/>
        <v>121.63484213196489</v>
      </c>
      <c r="Z10">
        <f t="shared" si="8"/>
        <v>3309.7979999999998</v>
      </c>
      <c r="AA10">
        <f t="shared" si="4"/>
        <v>364.90452639589512</v>
      </c>
    </row>
    <row r="11" spans="1:29" x14ac:dyDescent="0.3">
      <c r="A11" s="1">
        <v>6</v>
      </c>
      <c r="B11" s="1">
        <f t="shared" si="0"/>
        <v>1287.5729411394827</v>
      </c>
      <c r="L11">
        <f xml:space="preserve"> L10 - 15</f>
        <v>3621.7785289200197</v>
      </c>
      <c r="M11">
        <f t="shared" si="1"/>
        <v>73.891234391580838</v>
      </c>
      <c r="V11">
        <f t="shared" si="6"/>
        <v>3811.6329999999998</v>
      </c>
      <c r="W11">
        <f t="shared" si="2"/>
        <v>252.13919896119478</v>
      </c>
      <c r="X11">
        <f t="shared" si="7"/>
        <v>3264.7979999999998</v>
      </c>
      <c r="Y11">
        <f t="shared" si="3"/>
        <v>143.9773606184317</v>
      </c>
      <c r="Z11">
        <f t="shared" si="8"/>
        <v>3264.7979999999998</v>
      </c>
      <c r="AA11">
        <f t="shared" si="4"/>
        <v>431.93208185529511</v>
      </c>
    </row>
    <row r="12" spans="1:29" x14ac:dyDescent="0.3">
      <c r="A12" s="1">
        <v>7</v>
      </c>
      <c r="B12" s="1">
        <f t="shared" si="0"/>
        <v>1391.882533421438</v>
      </c>
      <c r="L12">
        <f xml:space="preserve"> L11 - 15</f>
        <v>3606.7785289200197</v>
      </c>
      <c r="M12">
        <f t="shared" si="1"/>
        <v>97.186042730356348</v>
      </c>
      <c r="V12">
        <f t="shared" si="6"/>
        <v>3766.6329999999998</v>
      </c>
      <c r="W12">
        <f t="shared" si="2"/>
        <v>290.68958161119463</v>
      </c>
      <c r="X12">
        <f t="shared" si="7"/>
        <v>3219.7979999999998</v>
      </c>
      <c r="Y12">
        <f t="shared" si="3"/>
        <v>165.65837910489881</v>
      </c>
      <c r="Z12">
        <f t="shared" si="8"/>
        <v>3219.7979999999998</v>
      </c>
      <c r="AA12">
        <f t="shared" si="4"/>
        <v>496.97513731469644</v>
      </c>
    </row>
    <row r="13" spans="1:29" x14ac:dyDescent="0.3">
      <c r="A13" s="1">
        <v>8</v>
      </c>
      <c r="B13" s="1">
        <f t="shared" si="0"/>
        <v>1498.8985940116424</v>
      </c>
      <c r="L13">
        <f xml:space="preserve"> L12 - 15</f>
        <v>3591.7785289200197</v>
      </c>
      <c r="M13">
        <f t="shared" si="1"/>
        <v>120.28454705204149</v>
      </c>
      <c r="V13">
        <f t="shared" si="6"/>
        <v>3721.6329999999998</v>
      </c>
      <c r="W13">
        <f t="shared" si="2"/>
        <v>328.24771426119469</v>
      </c>
      <c r="X13">
        <f t="shared" si="7"/>
        <v>3174.7979999999998</v>
      </c>
      <c r="Y13">
        <f t="shared" si="3"/>
        <v>186.67789759136531</v>
      </c>
      <c r="Z13">
        <f t="shared" si="8"/>
        <v>3174.7979999999998</v>
      </c>
      <c r="AA13">
        <f t="shared" si="4"/>
        <v>560.03369277409547</v>
      </c>
    </row>
    <row r="14" spans="1:29" x14ac:dyDescent="0.3">
      <c r="A14" s="1">
        <v>9</v>
      </c>
      <c r="B14" s="1">
        <f t="shared" si="0"/>
        <v>1607.9699372823356</v>
      </c>
      <c r="L14">
        <f xml:space="preserve"> L13 - 15</f>
        <v>3576.7785289200197</v>
      </c>
      <c r="M14">
        <f t="shared" si="1"/>
        <v>143.18674735663262</v>
      </c>
      <c r="V14">
        <f t="shared" si="6"/>
        <v>3676.6329999999998</v>
      </c>
      <c r="W14">
        <f t="shared" si="2"/>
        <v>364.81359691119496</v>
      </c>
      <c r="X14">
        <f t="shared" si="7"/>
        <v>3129.7979999999998</v>
      </c>
      <c r="Y14">
        <f t="shared" si="3"/>
        <v>207.03591607783233</v>
      </c>
      <c r="Z14">
        <f t="shared" si="8"/>
        <v>3129.7979999999998</v>
      </c>
      <c r="AA14">
        <f t="shared" si="4"/>
        <v>621.10774823349675</v>
      </c>
    </row>
    <row r="15" spans="1:29" x14ac:dyDescent="0.3">
      <c r="A15" s="1">
        <v>10</v>
      </c>
      <c r="B15" s="1">
        <f t="shared" si="0"/>
        <v>1718.4914977476947</v>
      </c>
      <c r="L15">
        <f t="shared" ref="L15:L78" si="9" xml:space="preserve"> L14 - 15</f>
        <v>3561.7785289200197</v>
      </c>
      <c r="M15">
        <f t="shared" si="1"/>
        <v>165.89264364413248</v>
      </c>
      <c r="V15">
        <f t="shared" si="6"/>
        <v>3631.6329999999998</v>
      </c>
      <c r="W15">
        <f t="shared" si="2"/>
        <v>400.38722956119454</v>
      </c>
      <c r="X15">
        <f t="shared" si="7"/>
        <v>3084.7979999999998</v>
      </c>
      <c r="Y15">
        <f t="shared" si="3"/>
        <v>226.73243456429896</v>
      </c>
      <c r="Z15">
        <f t="shared" si="8"/>
        <v>3084.7979999999998</v>
      </c>
      <c r="AA15">
        <f t="shared" si="4"/>
        <v>680.19730369289755</v>
      </c>
    </row>
    <row r="16" spans="1:29" x14ac:dyDescent="0.3">
      <c r="A16" s="1">
        <v>11</v>
      </c>
      <c r="B16" s="1">
        <f t="shared" si="0"/>
        <v>1829.908893193792</v>
      </c>
      <c r="L16">
        <f t="shared" si="9"/>
        <v>3546.7785289200197</v>
      </c>
      <c r="M16">
        <f t="shared" si="1"/>
        <v>188.40223591454014</v>
      </c>
      <c r="V16">
        <f t="shared" si="6"/>
        <v>3586.6329999999998</v>
      </c>
      <c r="W16">
        <f t="shared" si="2"/>
        <v>434.9686122111948</v>
      </c>
      <c r="X16">
        <f t="shared" si="7"/>
        <v>3039.7979999999998</v>
      </c>
      <c r="Y16">
        <f t="shared" si="3"/>
        <v>245.76745305076611</v>
      </c>
      <c r="Z16">
        <f t="shared" si="8"/>
        <v>3039.7979999999998</v>
      </c>
      <c r="AA16">
        <f t="shared" si="4"/>
        <v>737.30235915229787</v>
      </c>
    </row>
    <row r="17" spans="1:27" x14ac:dyDescent="0.3">
      <c r="A17" s="1">
        <v>12</v>
      </c>
      <c r="B17" s="1">
        <f t="shared" si="0"/>
        <v>1941.7183474015617</v>
      </c>
      <c r="L17">
        <f t="shared" si="9"/>
        <v>3531.7785289200197</v>
      </c>
      <c r="M17">
        <f t="shared" si="1"/>
        <v>210.71552416785653</v>
      </c>
      <c r="V17">
        <f t="shared" si="6"/>
        <v>3541.6329999999998</v>
      </c>
      <c r="W17">
        <f t="shared" si="2"/>
        <v>468.55774486119481</v>
      </c>
      <c r="X17">
        <f t="shared" si="7"/>
        <v>2994.7979999999998</v>
      </c>
      <c r="Y17">
        <f t="shared" si="3"/>
        <v>264.14097153723287</v>
      </c>
      <c r="Z17">
        <f t="shared" si="8"/>
        <v>2994.7979999999998</v>
      </c>
      <c r="AA17">
        <f t="shared" si="4"/>
        <v>792.42291461169862</v>
      </c>
    </row>
    <row r="18" spans="1:27" x14ac:dyDescent="0.3">
      <c r="A18" s="1">
        <v>13</v>
      </c>
      <c r="B18" s="1">
        <f t="shared" si="0"/>
        <v>2053.4638661271797</v>
      </c>
      <c r="L18">
        <f t="shared" si="9"/>
        <v>3516.7785289200197</v>
      </c>
      <c r="M18">
        <f t="shared" si="1"/>
        <v>232.83250840407982</v>
      </c>
      <c r="V18">
        <f t="shared" si="6"/>
        <v>3496.6329999999998</v>
      </c>
      <c r="W18">
        <f t="shared" si="2"/>
        <v>501.15462751119458</v>
      </c>
      <c r="X18">
        <f t="shared" si="7"/>
        <v>2949.7979999999998</v>
      </c>
      <c r="Y18">
        <f t="shared" si="3"/>
        <v>281.8529900236997</v>
      </c>
      <c r="Z18">
        <f t="shared" si="8"/>
        <v>2949.7979999999998</v>
      </c>
      <c r="AA18">
        <f t="shared" si="4"/>
        <v>845.55897007109888</v>
      </c>
    </row>
    <row r="19" spans="1:27" x14ac:dyDescent="0.3">
      <c r="A19" s="1">
        <v>14</v>
      </c>
      <c r="B19" s="1">
        <f t="shared" si="0"/>
        <v>2164.7330346868371</v>
      </c>
      <c r="D19" t="s">
        <v>7</v>
      </c>
      <c r="L19">
        <f t="shared" si="9"/>
        <v>3501.7785289200197</v>
      </c>
      <c r="M19">
        <f t="shared" si="1"/>
        <v>254.75318862321274</v>
      </c>
      <c r="V19">
        <f t="shared" si="6"/>
        <v>3451.6329999999998</v>
      </c>
      <c r="W19">
        <f t="shared" si="2"/>
        <v>532.75926016119502</v>
      </c>
      <c r="X19">
        <f t="shared" si="7"/>
        <v>2904.7979999999998</v>
      </c>
      <c r="Y19">
        <f t="shared" si="3"/>
        <v>298.90350851016615</v>
      </c>
      <c r="Z19">
        <f t="shared" si="8"/>
        <v>2904.7979999999998</v>
      </c>
      <c r="AA19">
        <f t="shared" si="4"/>
        <v>896.71052553049958</v>
      </c>
    </row>
    <row r="20" spans="1:27" x14ac:dyDescent="0.3">
      <c r="A20" s="1">
        <v>15</v>
      </c>
      <c r="B20" s="1">
        <f t="shared" si="0"/>
        <v>2275.1523344115435</v>
      </c>
      <c r="D20" t="s">
        <v>8</v>
      </c>
      <c r="L20">
        <f t="shared" si="9"/>
        <v>3486.7785289200197</v>
      </c>
      <c r="M20">
        <f t="shared" si="1"/>
        <v>276.47756482525347</v>
      </c>
      <c r="V20">
        <f t="shared" si="6"/>
        <v>3406.6329999999998</v>
      </c>
      <c r="W20">
        <f t="shared" si="2"/>
        <v>563.37164281119476</v>
      </c>
      <c r="X20">
        <f t="shared" si="7"/>
        <v>2859.7979999999998</v>
      </c>
      <c r="Y20">
        <f t="shared" si="3"/>
        <v>315.29252699663334</v>
      </c>
      <c r="Z20">
        <f t="shared" si="8"/>
        <v>2859.7979999999998</v>
      </c>
      <c r="AA20">
        <f t="shared" si="4"/>
        <v>945.8775809898998</v>
      </c>
    </row>
    <row r="21" spans="1:27" x14ac:dyDescent="0.3">
      <c r="A21" s="1">
        <v>16</v>
      </c>
      <c r="B21" s="1">
        <f t="shared" si="0"/>
        <v>2384.3825152506556</v>
      </c>
      <c r="D21" t="s">
        <v>9</v>
      </c>
      <c r="L21">
        <f t="shared" si="9"/>
        <v>3471.7785289200197</v>
      </c>
      <c r="M21">
        <f t="shared" si="1"/>
        <v>298.00563701020201</v>
      </c>
      <c r="V21">
        <f t="shared" si="6"/>
        <v>3361.6329999999998</v>
      </c>
      <c r="W21">
        <f t="shared" si="2"/>
        <v>592.99177546119472</v>
      </c>
      <c r="X21">
        <f t="shared" si="7"/>
        <v>2814.7979999999998</v>
      </c>
      <c r="Y21">
        <f t="shared" si="3"/>
        <v>331.02004548310015</v>
      </c>
      <c r="Z21">
        <f t="shared" si="8"/>
        <v>2814.7979999999998</v>
      </c>
      <c r="AA21">
        <f t="shared" si="4"/>
        <v>993.06013644929999</v>
      </c>
    </row>
    <row r="22" spans="1:27" x14ac:dyDescent="0.3">
      <c r="A22" s="1">
        <v>17</v>
      </c>
      <c r="B22" s="1">
        <f t="shared" si="0"/>
        <v>2492.1143130404266</v>
      </c>
      <c r="D22" t="s">
        <v>10</v>
      </c>
      <c r="L22">
        <f t="shared" si="9"/>
        <v>3456.7785289200197</v>
      </c>
      <c r="M22">
        <f t="shared" si="1"/>
        <v>319.33740517805836</v>
      </c>
      <c r="V22">
        <f t="shared" si="6"/>
        <v>3316.6329999999998</v>
      </c>
      <c r="W22">
        <f t="shared" si="2"/>
        <v>621.61965811119489</v>
      </c>
      <c r="X22">
        <f t="shared" si="7"/>
        <v>2769.7979999999998</v>
      </c>
      <c r="Y22">
        <f t="shared" si="3"/>
        <v>346.08606396956702</v>
      </c>
      <c r="Z22">
        <f t="shared" si="8"/>
        <v>2769.7979999999998</v>
      </c>
      <c r="AA22">
        <f t="shared" si="4"/>
        <v>1038.2581919087011</v>
      </c>
    </row>
    <row r="23" spans="1:27" x14ac:dyDescent="0.3">
      <c r="A23" s="1">
        <v>18</v>
      </c>
      <c r="B23" s="1">
        <f t="shared" si="0"/>
        <v>2598.0646406775595</v>
      </c>
      <c r="L23">
        <f t="shared" si="9"/>
        <v>3441.7785289200197</v>
      </c>
      <c r="M23">
        <f t="shared" si="1"/>
        <v>340.47286932882253</v>
      </c>
      <c r="V23">
        <f t="shared" si="6"/>
        <v>3271.6329999999998</v>
      </c>
      <c r="W23">
        <f t="shared" si="2"/>
        <v>649.25529076119437</v>
      </c>
      <c r="X23">
        <f t="shared" si="7"/>
        <v>2724.7979999999998</v>
      </c>
      <c r="Y23">
        <f t="shared" si="3"/>
        <v>360.49058245603374</v>
      </c>
      <c r="Z23">
        <f t="shared" si="8"/>
        <v>2724.7979999999998</v>
      </c>
      <c r="AA23">
        <f t="shared" si="4"/>
        <v>1081.4717473681012</v>
      </c>
    </row>
    <row r="24" spans="1:27" x14ac:dyDescent="0.3">
      <c r="A24" s="1">
        <v>19</v>
      </c>
      <c r="B24" s="1">
        <f t="shared" si="0"/>
        <v>2701.9732873110538</v>
      </c>
      <c r="L24">
        <f t="shared" si="9"/>
        <v>3426.7785289200197</v>
      </c>
      <c r="M24">
        <f t="shared" si="1"/>
        <v>361.41202946249632</v>
      </c>
      <c r="V24">
        <f t="shared" si="6"/>
        <v>3226.6329999999998</v>
      </c>
      <c r="W24">
        <f t="shared" si="2"/>
        <v>675.89867341119452</v>
      </c>
      <c r="X24">
        <f t="shared" si="7"/>
        <v>2679.7979999999998</v>
      </c>
      <c r="Y24">
        <f t="shared" si="3"/>
        <v>374.23360094250074</v>
      </c>
      <c r="Z24">
        <f t="shared" si="8"/>
        <v>2679.7979999999998</v>
      </c>
      <c r="AA24">
        <f t="shared" si="4"/>
        <v>1122.7008028275022</v>
      </c>
    </row>
    <row r="25" spans="1:27" x14ac:dyDescent="0.3">
      <c r="A25" s="1">
        <v>20</v>
      </c>
      <c r="B25" s="1">
        <f t="shared" si="0"/>
        <v>2803.6001071655778</v>
      </c>
      <c r="L25">
        <f t="shared" si="9"/>
        <v>3411.7785289200197</v>
      </c>
      <c r="M25">
        <f t="shared" si="1"/>
        <v>382.15488557907702</v>
      </c>
      <c r="V25">
        <f t="shared" si="6"/>
        <v>3181.6329999999998</v>
      </c>
      <c r="W25">
        <f t="shared" si="2"/>
        <v>701.54980606119489</v>
      </c>
      <c r="X25">
        <f t="shared" si="7"/>
        <v>2634.7979999999998</v>
      </c>
      <c r="Y25">
        <f t="shared" si="3"/>
        <v>387.31511942896759</v>
      </c>
      <c r="Z25">
        <f t="shared" si="8"/>
        <v>2634.7979999999998</v>
      </c>
      <c r="AA25">
        <f t="shared" si="4"/>
        <v>1161.9453582869023</v>
      </c>
    </row>
    <row r="26" spans="1:27" x14ac:dyDescent="0.3">
      <c r="A26" s="1">
        <v>21</v>
      </c>
      <c r="B26" s="1">
        <f t="shared" si="0"/>
        <v>2902.7226538208379</v>
      </c>
      <c r="L26">
        <f t="shared" si="9"/>
        <v>3396.7785289200197</v>
      </c>
      <c r="M26">
        <f t="shared" si="1"/>
        <v>402.70143767856644</v>
      </c>
      <c r="V26">
        <f t="shared" si="6"/>
        <v>3136.6329999999998</v>
      </c>
      <c r="W26">
        <f t="shared" si="2"/>
        <v>726.20868871119455</v>
      </c>
      <c r="X26">
        <f t="shared" si="7"/>
        <v>2589.7979999999998</v>
      </c>
      <c r="Y26">
        <f t="shared" si="3"/>
        <v>399.73513791543451</v>
      </c>
      <c r="Z26">
        <f t="shared" si="8"/>
        <v>2589.7979999999998</v>
      </c>
      <c r="AA26">
        <f t="shared" si="4"/>
        <v>1199.2054137463037</v>
      </c>
    </row>
    <row r="27" spans="1:27" x14ac:dyDescent="0.3">
      <c r="A27" s="1">
        <v>22</v>
      </c>
      <c r="B27" s="1">
        <f t="shared" si="0"/>
        <v>2999.1342058447417</v>
      </c>
      <c r="L27">
        <f t="shared" si="9"/>
        <v>3381.7785289200197</v>
      </c>
      <c r="M27">
        <f t="shared" si="1"/>
        <v>423.05168576096457</v>
      </c>
      <c r="V27">
        <f t="shared" si="6"/>
        <v>3091.6329999999998</v>
      </c>
      <c r="W27">
        <f t="shared" si="2"/>
        <v>749.87532136119489</v>
      </c>
      <c r="X27">
        <f t="shared" si="7"/>
        <v>2544.7979999999998</v>
      </c>
      <c r="Y27">
        <f t="shared" si="3"/>
        <v>411.49365640190126</v>
      </c>
      <c r="Z27">
        <f t="shared" si="8"/>
        <v>2544.7979999999998</v>
      </c>
      <c r="AA27">
        <f t="shared" si="4"/>
        <v>1234.4809692057033</v>
      </c>
    </row>
    <row r="28" spans="1:27" x14ac:dyDescent="0.3">
      <c r="A28" s="1">
        <v>23</v>
      </c>
      <c r="B28" s="1">
        <f t="shared" si="0"/>
        <v>3092.6421286228979</v>
      </c>
      <c r="L28">
        <f t="shared" si="9"/>
        <v>3366.7785289200197</v>
      </c>
      <c r="M28">
        <f t="shared" si="1"/>
        <v>443.20562982626961</v>
      </c>
      <c r="V28">
        <f t="shared" si="6"/>
        <v>3046.6329999999998</v>
      </c>
      <c r="W28">
        <f t="shared" si="2"/>
        <v>772.54970401119499</v>
      </c>
      <c r="X28">
        <f t="shared" si="7"/>
        <v>2499.7979999999998</v>
      </c>
      <c r="Y28">
        <f t="shared" si="3"/>
        <v>422.59067488836808</v>
      </c>
      <c r="Z28">
        <f t="shared" si="8"/>
        <v>2499.7979999999998</v>
      </c>
      <c r="AA28">
        <f t="shared" si="4"/>
        <v>1267.7720246651038</v>
      </c>
    </row>
    <row r="29" spans="1:27" x14ac:dyDescent="0.3">
      <c r="A29" s="1">
        <v>24</v>
      </c>
      <c r="B29" s="1">
        <f t="shared" si="0"/>
        <v>3183.0665207359589</v>
      </c>
      <c r="L29">
        <f t="shared" si="9"/>
        <v>3351.7785289200197</v>
      </c>
      <c r="M29">
        <f t="shared" si="1"/>
        <v>463.16326987448338</v>
      </c>
      <c r="V29">
        <f t="shared" si="6"/>
        <v>3001.6329999999998</v>
      </c>
      <c r="W29">
        <f t="shared" si="2"/>
        <v>794.23183666119485</v>
      </c>
      <c r="X29">
        <f t="shared" si="7"/>
        <v>2454.7979999999998</v>
      </c>
      <c r="Y29">
        <f t="shared" si="3"/>
        <v>433.02619337483497</v>
      </c>
      <c r="Z29">
        <f t="shared" si="8"/>
        <v>2454.7979999999998</v>
      </c>
      <c r="AA29">
        <f t="shared" si="4"/>
        <v>1299.0785801245042</v>
      </c>
    </row>
    <row r="30" spans="1:27" x14ac:dyDescent="0.3">
      <c r="A30" s="1">
        <v>25</v>
      </c>
      <c r="B30" s="1">
        <f t="shared" si="0"/>
        <v>3270.2390987650324</v>
      </c>
      <c r="L30">
        <f t="shared" si="9"/>
        <v>3336.7785289200197</v>
      </c>
      <c r="M30">
        <f t="shared" si="1"/>
        <v>482.92460590560495</v>
      </c>
      <c r="V30">
        <f t="shared" si="6"/>
        <v>2956.6329999999998</v>
      </c>
      <c r="W30">
        <f t="shared" si="2"/>
        <v>814.92171931119492</v>
      </c>
      <c r="X30">
        <f t="shared" si="7"/>
        <v>2409.7979999999998</v>
      </c>
      <c r="Y30">
        <f t="shared" si="3"/>
        <v>442.8002118613017</v>
      </c>
      <c r="Z30">
        <f t="shared" si="8"/>
        <v>2409.7979999999998</v>
      </c>
      <c r="AA30">
        <f t="shared" si="4"/>
        <v>1328.4006355839047</v>
      </c>
    </row>
    <row r="31" spans="1:27" x14ac:dyDescent="0.3">
      <c r="A31" s="1">
        <v>26</v>
      </c>
      <c r="B31" s="1">
        <f t="shared" si="0"/>
        <v>3354.002280519242</v>
      </c>
      <c r="L31">
        <f t="shared" si="9"/>
        <v>3321.7785289200197</v>
      </c>
      <c r="M31">
        <f t="shared" si="1"/>
        <v>502.48963791963524</v>
      </c>
      <c r="V31">
        <f t="shared" si="6"/>
        <v>2911.6329999999998</v>
      </c>
      <c r="W31">
        <f t="shared" si="2"/>
        <v>834.6193519611943</v>
      </c>
      <c r="X31">
        <f t="shared" si="7"/>
        <v>2364.7979999999998</v>
      </c>
      <c r="Y31">
        <f t="shared" si="3"/>
        <v>451.91273034776873</v>
      </c>
      <c r="Z31">
        <f t="shared" si="8"/>
        <v>2364.7979999999998</v>
      </c>
      <c r="AA31">
        <f t="shared" si="4"/>
        <v>1355.7381910433055</v>
      </c>
    </row>
    <row r="32" spans="1:27" x14ac:dyDescent="0.3">
      <c r="A32" s="1">
        <v>27</v>
      </c>
      <c r="B32" s="1">
        <f t="shared" si="0"/>
        <v>3434.2084326195613</v>
      </c>
      <c r="L32">
        <f t="shared" si="9"/>
        <v>3306.7785289200197</v>
      </c>
      <c r="M32">
        <f t="shared" si="1"/>
        <v>521.85836591657335</v>
      </c>
      <c r="V32">
        <f t="shared" si="6"/>
        <v>2866.6329999999998</v>
      </c>
      <c r="W32">
        <f t="shared" si="2"/>
        <v>853.32473461119457</v>
      </c>
      <c r="X32">
        <f t="shared" si="7"/>
        <v>2319.7979999999998</v>
      </c>
      <c r="Y32">
        <f t="shared" si="3"/>
        <v>460.36374883423537</v>
      </c>
      <c r="Z32">
        <f t="shared" si="8"/>
        <v>2319.7979999999998</v>
      </c>
      <c r="AA32">
        <f t="shared" si="4"/>
        <v>1381.0912465027059</v>
      </c>
    </row>
    <row r="33" spans="1:27" x14ac:dyDescent="0.3">
      <c r="A33" s="1">
        <v>28</v>
      </c>
      <c r="B33" s="1">
        <f t="shared" si="0"/>
        <v>3510.71925377762</v>
      </c>
      <c r="L33">
        <f t="shared" si="9"/>
        <v>3291.7785289200197</v>
      </c>
      <c r="M33">
        <f t="shared" si="1"/>
        <v>541.03078989641926</v>
      </c>
      <c r="V33">
        <f t="shared" si="6"/>
        <v>2821.6329999999998</v>
      </c>
      <c r="W33">
        <f t="shared" si="2"/>
        <v>871.03786726119461</v>
      </c>
      <c r="X33">
        <f t="shared" si="7"/>
        <v>2274.7979999999998</v>
      </c>
      <c r="Y33">
        <f t="shared" si="3"/>
        <v>468.1532673207023</v>
      </c>
      <c r="Z33">
        <f t="shared" si="8"/>
        <v>2274.7979999999998</v>
      </c>
      <c r="AA33">
        <f t="shared" si="4"/>
        <v>1404.4598019621067</v>
      </c>
    </row>
    <row r="34" spans="1:27" x14ac:dyDescent="0.3">
      <c r="A34" s="1">
        <v>29</v>
      </c>
      <c r="B34" s="1">
        <f t="shared" si="0"/>
        <v>3583.4052698414921</v>
      </c>
      <c r="L34">
        <f t="shared" si="9"/>
        <v>3276.7785289200197</v>
      </c>
      <c r="M34">
        <f t="shared" si="1"/>
        <v>560.00690985917299</v>
      </c>
      <c r="V34">
        <f t="shared" si="6"/>
        <v>2776.6329999999998</v>
      </c>
      <c r="W34">
        <f t="shared" si="2"/>
        <v>887.75874991119485</v>
      </c>
      <c r="X34">
        <f t="shared" si="7"/>
        <v>2229.7979999999998</v>
      </c>
      <c r="Y34">
        <f t="shared" si="3"/>
        <v>475.28128580716907</v>
      </c>
      <c r="Z34">
        <f t="shared" si="8"/>
        <v>2229.7979999999998</v>
      </c>
      <c r="AA34">
        <f t="shared" si="4"/>
        <v>1425.843857421507</v>
      </c>
    </row>
    <row r="35" spans="1:27" x14ac:dyDescent="0.3">
      <c r="A35" s="1">
        <v>30</v>
      </c>
      <c r="B35" s="1">
        <f t="shared" si="0"/>
        <v>3652.1454207280563</v>
      </c>
      <c r="L35">
        <f t="shared" si="9"/>
        <v>3261.7785289200197</v>
      </c>
      <c r="M35">
        <f t="shared" si="1"/>
        <v>578.78672580483635</v>
      </c>
      <c r="V35">
        <f t="shared" si="6"/>
        <v>2731.6329999999998</v>
      </c>
      <c r="W35">
        <f t="shared" si="2"/>
        <v>903.48738256119464</v>
      </c>
      <c r="X35">
        <f t="shared" si="7"/>
        <v>2184.7979999999998</v>
      </c>
      <c r="Y35">
        <f t="shared" si="3"/>
        <v>481.74780429363591</v>
      </c>
      <c r="Z35">
        <f t="shared" si="8"/>
        <v>2184.7979999999998</v>
      </c>
      <c r="AA35">
        <f t="shared" si="4"/>
        <v>1445.2434128809073</v>
      </c>
    </row>
    <row r="36" spans="1:27" x14ac:dyDescent="0.3">
      <c r="A36" s="1">
        <v>31</v>
      </c>
      <c r="B36" s="1">
        <f t="shared" si="0"/>
        <v>3716.8267227696892</v>
      </c>
      <c r="L36">
        <f t="shared" si="9"/>
        <v>3246.7785289200197</v>
      </c>
      <c r="M36">
        <f t="shared" si="1"/>
        <v>597.37023773340661</v>
      </c>
      <c r="V36">
        <f t="shared" si="6"/>
        <v>2686.6329999999998</v>
      </c>
      <c r="W36">
        <f t="shared" si="2"/>
        <v>918.22376521119463</v>
      </c>
      <c r="X36">
        <f t="shared" si="7"/>
        <v>2139.7979999999998</v>
      </c>
      <c r="Y36">
        <f t="shared" si="3"/>
        <v>487.5528227801027</v>
      </c>
      <c r="Z36">
        <f t="shared" si="8"/>
        <v>2139.7979999999998</v>
      </c>
      <c r="AA36">
        <f t="shared" si="4"/>
        <v>1462.658468340308</v>
      </c>
    </row>
    <row r="37" spans="1:27" x14ac:dyDescent="0.3">
      <c r="A37" s="1">
        <v>32</v>
      </c>
      <c r="B37" s="1">
        <f t="shared" ref="B37:B68" si="10" xml:space="preserve"> (($B$2^2)*SIN(RADIANS(A37))*COS(RADIANS(A37)) + ($B$2*COS(RADIANS(A37)) * SQRT($B$2^2 * (SIN(RADIANS(A37)))^2+2*$D$2*$A$2)))/($D$2)</f>
        <v>3777.3439928440584</v>
      </c>
      <c r="L37">
        <f t="shared" si="9"/>
        <v>3231.7785289200197</v>
      </c>
      <c r="M37">
        <f t="shared" si="1"/>
        <v>615.75744564488468</v>
      </c>
      <c r="V37">
        <f t="shared" si="6"/>
        <v>2641.6329999999998</v>
      </c>
      <c r="W37">
        <f t="shared" si="2"/>
        <v>931.96789786119461</v>
      </c>
      <c r="X37">
        <f t="shared" si="7"/>
        <v>2094.7979999999998</v>
      </c>
      <c r="Y37">
        <f t="shared" si="3"/>
        <v>492.69634126656979</v>
      </c>
      <c r="Z37">
        <f t="shared" si="8"/>
        <v>2094.7979999999998</v>
      </c>
      <c r="AA37">
        <f t="shared" si="4"/>
        <v>1478.0890237997087</v>
      </c>
    </row>
    <row r="38" spans="1:27" x14ac:dyDescent="0.3">
      <c r="A38" s="1">
        <v>33</v>
      </c>
      <c r="B38" s="1">
        <f t="shared" si="10"/>
        <v>3833.5996230085357</v>
      </c>
      <c r="L38">
        <f t="shared" si="9"/>
        <v>3216.7785289200197</v>
      </c>
      <c r="M38">
        <f t="shared" si="1"/>
        <v>633.94834953927329</v>
      </c>
      <c r="V38">
        <f t="shared" si="6"/>
        <v>2596.6329999999998</v>
      </c>
      <c r="W38">
        <f t="shared" si="2"/>
        <v>944.71978051119481</v>
      </c>
      <c r="X38">
        <f t="shared" si="7"/>
        <v>2049.7979999999998</v>
      </c>
      <c r="Y38">
        <f t="shared" si="3"/>
        <v>497.17835975303637</v>
      </c>
      <c r="Z38">
        <f t="shared" si="8"/>
        <v>2049.7979999999998</v>
      </c>
      <c r="AA38">
        <f t="shared" si="4"/>
        <v>1491.5350792591089</v>
      </c>
    </row>
    <row r="39" spans="1:27" x14ac:dyDescent="0.3">
      <c r="A39" s="1">
        <v>34</v>
      </c>
      <c r="B39" s="1">
        <f t="shared" si="10"/>
        <v>3885.503396301513</v>
      </c>
      <c r="L39">
        <f t="shared" si="9"/>
        <v>3201.7785289200197</v>
      </c>
      <c r="M39">
        <f t="shared" si="1"/>
        <v>651.9429494165679</v>
      </c>
      <c r="V39">
        <f t="shared" si="6"/>
        <v>2551.6329999999998</v>
      </c>
      <c r="W39">
        <f t="shared" si="2"/>
        <v>956.47941316119477</v>
      </c>
      <c r="X39">
        <f t="shared" si="7"/>
        <v>2004.7979999999998</v>
      </c>
      <c r="Y39">
        <f t="shared" si="3"/>
        <v>500.99887823950337</v>
      </c>
      <c r="Z39">
        <f t="shared" si="8"/>
        <v>2004.7979999999998</v>
      </c>
      <c r="AA39">
        <f t="shared" si="4"/>
        <v>1502.9966347185098</v>
      </c>
    </row>
    <row r="40" spans="1:27" x14ac:dyDescent="0.3">
      <c r="A40" s="1">
        <v>35</v>
      </c>
      <c r="B40" s="1">
        <f t="shared" si="10"/>
        <v>3932.9723359701202</v>
      </c>
      <c r="L40">
        <f t="shared" si="9"/>
        <v>3186.7785289200197</v>
      </c>
      <c r="M40">
        <f t="shared" si="1"/>
        <v>669.74124527677122</v>
      </c>
      <c r="V40">
        <f t="shared" si="6"/>
        <v>2506.6329999999998</v>
      </c>
      <c r="W40">
        <f t="shared" si="2"/>
        <v>967.24679581119449</v>
      </c>
      <c r="X40">
        <f t="shared" si="7"/>
        <v>1959.7979999999998</v>
      </c>
      <c r="Y40">
        <f t="shared" si="3"/>
        <v>504.15789672597009</v>
      </c>
      <c r="Z40">
        <f t="shared" si="8"/>
        <v>1959.7979999999998</v>
      </c>
      <c r="AA40">
        <f t="shared" si="4"/>
        <v>1512.4736901779097</v>
      </c>
    </row>
    <row r="41" spans="1:27" x14ac:dyDescent="0.3">
      <c r="A41" s="1">
        <v>36</v>
      </c>
      <c r="B41" s="1">
        <f t="shared" si="10"/>
        <v>3975.9305816973651</v>
      </c>
      <c r="L41">
        <f t="shared" si="9"/>
        <v>3171.7785289200197</v>
      </c>
      <c r="M41">
        <f t="shared" si="1"/>
        <v>687.34323711988236</v>
      </c>
      <c r="V41">
        <f t="shared" si="6"/>
        <v>2461.6329999999998</v>
      </c>
      <c r="W41">
        <f t="shared" si="2"/>
        <v>977.02192846119442</v>
      </c>
      <c r="X41">
        <f t="shared" si="7"/>
        <v>1914.7979999999998</v>
      </c>
      <c r="Y41">
        <f t="shared" si="3"/>
        <v>506.65541521243711</v>
      </c>
      <c r="Z41">
        <f t="shared" si="8"/>
        <v>1914.7979999999998</v>
      </c>
      <c r="AA41">
        <f t="shared" si="4"/>
        <v>1519.9662456373105</v>
      </c>
    </row>
    <row r="42" spans="1:27" x14ac:dyDescent="0.3">
      <c r="A42" s="1">
        <v>37</v>
      </c>
      <c r="B42" s="1">
        <f t="shared" si="10"/>
        <v>4014.3092874818426</v>
      </c>
      <c r="L42">
        <f t="shared" si="9"/>
        <v>3156.7785289200197</v>
      </c>
      <c r="M42">
        <f t="shared" si="1"/>
        <v>704.74892494590222</v>
      </c>
      <c r="V42">
        <f t="shared" si="6"/>
        <v>2416.6329999999998</v>
      </c>
      <c r="W42">
        <f t="shared" si="2"/>
        <v>985.80481111119479</v>
      </c>
      <c r="X42">
        <f t="shared" si="7"/>
        <v>1869.7979999999998</v>
      </c>
      <c r="Y42">
        <f t="shared" si="3"/>
        <v>508.49143369890373</v>
      </c>
      <c r="Z42">
        <f t="shared" si="8"/>
        <v>1869.7979999999998</v>
      </c>
      <c r="AA42">
        <f t="shared" si="4"/>
        <v>1525.4743010967111</v>
      </c>
    </row>
    <row r="43" spans="1:27" x14ac:dyDescent="0.3">
      <c r="A43" s="1">
        <v>38</v>
      </c>
      <c r="B43" s="1">
        <f t="shared" si="10"/>
        <v>4048.0465367123984</v>
      </c>
      <c r="L43">
        <f t="shared" si="9"/>
        <v>3141.7785289200197</v>
      </c>
      <c r="M43">
        <f t="shared" si="1"/>
        <v>721.95830875482989</v>
      </c>
      <c r="V43">
        <f t="shared" si="6"/>
        <v>2371.6329999999998</v>
      </c>
      <c r="W43">
        <f t="shared" si="2"/>
        <v>993.5954437611947</v>
      </c>
      <c r="X43">
        <f t="shared" si="7"/>
        <v>1824.7979999999998</v>
      </c>
      <c r="Y43">
        <f t="shared" si="3"/>
        <v>509.66595218537066</v>
      </c>
      <c r="Z43">
        <f t="shared" si="8"/>
        <v>1824.7979999999998</v>
      </c>
      <c r="AA43">
        <f t="shared" si="4"/>
        <v>1528.9978565561116</v>
      </c>
    </row>
    <row r="44" spans="1:27" x14ac:dyDescent="0.3">
      <c r="A44" s="1">
        <v>39</v>
      </c>
      <c r="B44" s="1">
        <f t="shared" si="10"/>
        <v>4077.0872707130575</v>
      </c>
      <c r="L44">
        <f t="shared" si="9"/>
        <v>3126.7785289200197</v>
      </c>
      <c r="M44">
        <f t="shared" si="1"/>
        <v>738.97138854666537</v>
      </c>
      <c r="V44">
        <f t="shared" si="6"/>
        <v>2326.6329999999998</v>
      </c>
      <c r="W44">
        <f t="shared" si="2"/>
        <v>1000.3938264111946</v>
      </c>
      <c r="X44">
        <f t="shared" si="7"/>
        <v>1779.7979999999998</v>
      </c>
      <c r="Y44">
        <f t="shared" si="3"/>
        <v>510.17897067183742</v>
      </c>
      <c r="Z44">
        <f t="shared" si="8"/>
        <v>1779.7979999999998</v>
      </c>
      <c r="AA44">
        <f t="shared" si="4"/>
        <v>1530.5369120155124</v>
      </c>
    </row>
    <row r="45" spans="1:27" x14ac:dyDescent="0.3">
      <c r="A45" s="1">
        <v>40</v>
      </c>
      <c r="B45" s="1">
        <f t="shared" si="10"/>
        <v>4101.383227638973</v>
      </c>
      <c r="L45">
        <f t="shared" si="9"/>
        <v>3111.7785289200197</v>
      </c>
      <c r="M45">
        <f t="shared" si="1"/>
        <v>755.78816432140957</v>
      </c>
      <c r="V45">
        <f t="shared" si="6"/>
        <v>2281.6329999999998</v>
      </c>
      <c r="W45">
        <f t="shared" si="2"/>
        <v>1006.1999590611947</v>
      </c>
      <c r="X45">
        <f t="shared" si="7"/>
        <v>1734.7979999999998</v>
      </c>
      <c r="Y45">
        <f t="shared" si="3"/>
        <v>510.03048915830425</v>
      </c>
      <c r="Z45">
        <f t="shared" si="8"/>
        <v>1734.7979999999998</v>
      </c>
      <c r="AA45">
        <f t="shared" si="4"/>
        <v>1530.0914674749124</v>
      </c>
    </row>
    <row r="46" spans="1:27" x14ac:dyDescent="0.3">
      <c r="A46" s="1">
        <v>41</v>
      </c>
      <c r="B46" s="1">
        <f t="shared" si="10"/>
        <v>4120.8928891054129</v>
      </c>
      <c r="L46">
        <f t="shared" si="9"/>
        <v>3096.7785289200197</v>
      </c>
      <c r="M46">
        <f t="shared" si="1"/>
        <v>772.40863607906158</v>
      </c>
      <c r="V46">
        <f t="shared" si="6"/>
        <v>2236.6329999999998</v>
      </c>
      <c r="W46">
        <f t="shared" si="2"/>
        <v>1011.0138417111946</v>
      </c>
      <c r="X46">
        <f t="shared" si="7"/>
        <v>1689.7979999999998</v>
      </c>
      <c r="Y46">
        <f t="shared" si="3"/>
        <v>509.22050764477109</v>
      </c>
      <c r="Z46">
        <f t="shared" si="8"/>
        <v>1689.7979999999998</v>
      </c>
      <c r="AA46">
        <f t="shared" si="4"/>
        <v>1527.6615229343129</v>
      </c>
    </row>
    <row r="47" spans="1:27" x14ac:dyDescent="0.3">
      <c r="A47" s="1">
        <v>42</v>
      </c>
      <c r="B47" s="1">
        <f t="shared" si="10"/>
        <v>4135.5814323478362</v>
      </c>
      <c r="L47">
        <f t="shared" si="9"/>
        <v>3081.7785289200197</v>
      </c>
      <c r="M47">
        <f t="shared" si="1"/>
        <v>788.8328038196214</v>
      </c>
      <c r="V47">
        <f t="shared" si="6"/>
        <v>2191.6329999999998</v>
      </c>
      <c r="W47">
        <f t="shared" si="2"/>
        <v>1014.8354743611947</v>
      </c>
      <c r="X47">
        <f t="shared" si="7"/>
        <v>1644.7979999999998</v>
      </c>
      <c r="Y47">
        <f t="shared" si="3"/>
        <v>507.749026131238</v>
      </c>
      <c r="Z47">
        <f t="shared" si="8"/>
        <v>1644.7979999999998</v>
      </c>
      <c r="AA47">
        <f t="shared" si="4"/>
        <v>1523.2470783937138</v>
      </c>
    </row>
    <row r="48" spans="1:27" x14ac:dyDescent="0.3">
      <c r="A48" s="1">
        <v>43</v>
      </c>
      <c r="B48" s="1">
        <f t="shared" si="10"/>
        <v>4145.4206860575732</v>
      </c>
      <c r="L48">
        <f t="shared" si="9"/>
        <v>3066.7785289200197</v>
      </c>
      <c r="M48">
        <f t="shared" si="1"/>
        <v>805.06066754308995</v>
      </c>
      <c r="V48">
        <f t="shared" si="6"/>
        <v>2146.6329999999998</v>
      </c>
      <c r="W48">
        <f t="shared" si="2"/>
        <v>1017.6648570111945</v>
      </c>
      <c r="X48">
        <f t="shared" si="7"/>
        <v>1599.7979999999998</v>
      </c>
      <c r="Y48">
        <f t="shared" si="3"/>
        <v>505.6160446177048</v>
      </c>
      <c r="Z48">
        <f t="shared" si="8"/>
        <v>1599.7979999999998</v>
      </c>
      <c r="AA48">
        <f t="shared" si="4"/>
        <v>1516.8481338531142</v>
      </c>
    </row>
    <row r="49" spans="1:27" x14ac:dyDescent="0.3">
      <c r="A49" s="1">
        <v>44</v>
      </c>
      <c r="B49" s="1">
        <f t="shared" si="10"/>
        <v>4150.3890883268923</v>
      </c>
      <c r="L49">
        <f t="shared" si="9"/>
        <v>3051.7785289200197</v>
      </c>
      <c r="M49">
        <f t="shared" si="1"/>
        <v>821.0922272494663</v>
      </c>
      <c r="V49">
        <f t="shared" si="6"/>
        <v>2101.6329999999998</v>
      </c>
      <c r="W49">
        <f t="shared" si="2"/>
        <v>1019.5019896611948</v>
      </c>
      <c r="X49">
        <f t="shared" si="7"/>
        <v>1554.7979999999998</v>
      </c>
      <c r="Y49">
        <f t="shared" si="3"/>
        <v>502.82156310417162</v>
      </c>
      <c r="Z49">
        <f t="shared" si="8"/>
        <v>1554.7979999999998</v>
      </c>
      <c r="AA49">
        <f t="shared" si="4"/>
        <v>1508.4646893125148</v>
      </c>
    </row>
    <row r="50" spans="1:27" x14ac:dyDescent="0.3">
      <c r="A50" s="1">
        <v>45</v>
      </c>
      <c r="B50" s="1">
        <f t="shared" si="10"/>
        <v>4150.4716453796864</v>
      </c>
      <c r="L50">
        <f t="shared" si="9"/>
        <v>3036.7785289200197</v>
      </c>
      <c r="M50">
        <f t="shared" si="1"/>
        <v>836.92748293875093</v>
      </c>
      <c r="V50">
        <f t="shared" si="6"/>
        <v>2056.6329999999998</v>
      </c>
      <c r="W50">
        <f t="shared" si="2"/>
        <v>1020.3468723111946</v>
      </c>
      <c r="X50">
        <f t="shared" si="7"/>
        <v>1509.7979999999998</v>
      </c>
      <c r="Y50">
        <f t="shared" si="3"/>
        <v>499.36558159063861</v>
      </c>
      <c r="Z50">
        <f t="shared" si="8"/>
        <v>1509.7979999999998</v>
      </c>
      <c r="AA50">
        <f t="shared" si="4"/>
        <v>1498.0967447719152</v>
      </c>
    </row>
    <row r="51" spans="1:27" x14ac:dyDescent="0.3">
      <c r="A51" s="1">
        <v>46</v>
      </c>
      <c r="B51" s="1">
        <f t="shared" si="10"/>
        <v>4145.6598899679138</v>
      </c>
      <c r="L51">
        <f t="shared" si="9"/>
        <v>3021.7785289200197</v>
      </c>
      <c r="M51">
        <f t="shared" si="1"/>
        <v>852.56643461094336</v>
      </c>
      <c r="V51">
        <f t="shared" si="6"/>
        <v>2011.6329999999998</v>
      </c>
      <c r="W51">
        <f t="shared" si="2"/>
        <v>1020.1995049611947</v>
      </c>
      <c r="X51">
        <f t="shared" si="7"/>
        <v>1464.7979999999998</v>
      </c>
      <c r="Y51">
        <f t="shared" si="3"/>
        <v>495.24810007710545</v>
      </c>
      <c r="Z51">
        <f t="shared" si="8"/>
        <v>1464.7979999999998</v>
      </c>
      <c r="AA51">
        <f t="shared" si="4"/>
        <v>1485.7443002313157</v>
      </c>
    </row>
    <row r="52" spans="1:27" x14ac:dyDescent="0.3">
      <c r="A52" s="1">
        <v>47</v>
      </c>
      <c r="B52" s="1">
        <f t="shared" si="10"/>
        <v>4135.9518384860194</v>
      </c>
      <c r="L52">
        <f t="shared" si="9"/>
        <v>3006.7785289200197</v>
      </c>
      <c r="M52">
        <f t="shared" si="1"/>
        <v>868.00908226604452</v>
      </c>
      <c r="V52">
        <f t="shared" si="6"/>
        <v>1966.6329999999998</v>
      </c>
      <c r="W52">
        <f t="shared" si="2"/>
        <v>1019.0598876111949</v>
      </c>
      <c r="X52">
        <f t="shared" si="7"/>
        <v>1419.7979999999998</v>
      </c>
      <c r="Y52">
        <f t="shared" si="3"/>
        <v>490.46911856357224</v>
      </c>
      <c r="Z52">
        <f t="shared" si="8"/>
        <v>1419.7979999999998</v>
      </c>
      <c r="AA52">
        <f t="shared" si="4"/>
        <v>1471.407355690716</v>
      </c>
    </row>
    <row r="53" spans="1:27" x14ac:dyDescent="0.3">
      <c r="A53" s="1">
        <v>48</v>
      </c>
      <c r="B53" s="1">
        <f t="shared" si="10"/>
        <v>4121.3519460013658</v>
      </c>
      <c r="L53">
        <f t="shared" si="9"/>
        <v>2991.7785289200197</v>
      </c>
      <c r="M53">
        <f t="shared" si="1"/>
        <v>883.25542590405348</v>
      </c>
      <c r="V53">
        <f t="shared" si="6"/>
        <v>1921.6329999999998</v>
      </c>
      <c r="W53">
        <f t="shared" si="2"/>
        <v>1016.9280202611948</v>
      </c>
      <c r="X53">
        <f t="shared" si="7"/>
        <v>1374.7979999999998</v>
      </c>
      <c r="Y53">
        <f t="shared" si="3"/>
        <v>485.02863705003909</v>
      </c>
      <c r="Z53">
        <f t="shared" si="8"/>
        <v>1374.7979999999998</v>
      </c>
      <c r="AA53">
        <f t="shared" si="4"/>
        <v>1455.0859111501168</v>
      </c>
    </row>
    <row r="54" spans="1:27" x14ac:dyDescent="0.3">
      <c r="A54" s="1">
        <v>49</v>
      </c>
      <c r="B54" s="1">
        <f t="shared" si="10"/>
        <v>4101.8710585229028</v>
      </c>
      <c r="L54">
        <f t="shared" si="9"/>
        <v>2976.7785289200197</v>
      </c>
      <c r="M54">
        <f t="shared" si="1"/>
        <v>898.30546552497026</v>
      </c>
      <c r="V54">
        <f t="shared" si="6"/>
        <v>1876.6329999999998</v>
      </c>
      <c r="W54">
        <f t="shared" si="2"/>
        <v>1013.8039029111948</v>
      </c>
      <c r="X54">
        <f t="shared" si="7"/>
        <v>1329.7979999999998</v>
      </c>
      <c r="Y54">
        <f t="shared" si="3"/>
        <v>478.92665553650596</v>
      </c>
      <c r="Z54">
        <f t="shared" si="8"/>
        <v>1329.7979999999998</v>
      </c>
      <c r="AA54">
        <f t="shared" si="4"/>
        <v>1436.7799666095175</v>
      </c>
    </row>
    <row r="55" spans="1:27" x14ac:dyDescent="0.3">
      <c r="A55" s="1">
        <v>50</v>
      </c>
      <c r="B55" s="1">
        <f t="shared" si="10"/>
        <v>4077.5263619362049</v>
      </c>
      <c r="L55">
        <f t="shared" si="9"/>
        <v>2961.7785289200197</v>
      </c>
      <c r="M55">
        <f t="shared" si="1"/>
        <v>913.1592011287953</v>
      </c>
      <c r="V55">
        <f t="shared" si="6"/>
        <v>1831.6329999999998</v>
      </c>
      <c r="W55">
        <f t="shared" si="2"/>
        <v>1009.6875355611947</v>
      </c>
      <c r="X55">
        <f t="shared" si="7"/>
        <v>1284.7979999999998</v>
      </c>
      <c r="Y55">
        <f t="shared" si="3"/>
        <v>472.16317402297273</v>
      </c>
      <c r="Z55">
        <f t="shared" si="8"/>
        <v>1284.7979999999998</v>
      </c>
      <c r="AA55">
        <f t="shared" si="4"/>
        <v>1416.4895220689177</v>
      </c>
    </row>
    <row r="56" spans="1:27" x14ac:dyDescent="0.3">
      <c r="A56" s="1">
        <v>51</v>
      </c>
      <c r="B56" s="1">
        <f t="shared" si="10"/>
        <v>4048.3413271240802</v>
      </c>
      <c r="L56">
        <f t="shared" si="9"/>
        <v>2946.7785289200197</v>
      </c>
      <c r="M56">
        <f t="shared" si="1"/>
        <v>927.81663271552952</v>
      </c>
      <c r="V56">
        <f t="shared" si="6"/>
        <v>1786.6329999999998</v>
      </c>
      <c r="W56">
        <f t="shared" si="2"/>
        <v>1004.5789182111948</v>
      </c>
      <c r="X56">
        <f t="shared" si="7"/>
        <v>1239.7979999999998</v>
      </c>
      <c r="Y56">
        <f t="shared" si="3"/>
        <v>464.73819250943961</v>
      </c>
      <c r="Z56">
        <f t="shared" si="8"/>
        <v>1239.7979999999998</v>
      </c>
      <c r="AA56">
        <f t="shared" si="4"/>
        <v>1394.2145775283182</v>
      </c>
    </row>
    <row r="57" spans="1:27" x14ac:dyDescent="0.3">
      <c r="A57" s="1">
        <v>52</v>
      </c>
      <c r="B57" s="1">
        <f t="shared" si="10"/>
        <v>4014.3456508703921</v>
      </c>
      <c r="L57">
        <f t="shared" si="9"/>
        <v>2931.7785289200197</v>
      </c>
      <c r="M57">
        <f t="shared" si="1"/>
        <v>942.27776028517064</v>
      </c>
      <c r="V57">
        <f t="shared" si="6"/>
        <v>1741.6329999999998</v>
      </c>
      <c r="W57">
        <f t="shared" si="2"/>
        <v>998.47805086119479</v>
      </c>
      <c r="X57">
        <f t="shared" si="7"/>
        <v>1194.7979999999998</v>
      </c>
      <c r="Y57">
        <f t="shared" si="3"/>
        <v>456.65171099590646</v>
      </c>
      <c r="Z57">
        <f t="shared" si="8"/>
        <v>1194.7979999999998</v>
      </c>
      <c r="AA57">
        <f t="shared" si="4"/>
        <v>1369.955132987719</v>
      </c>
    </row>
    <row r="58" spans="1:27" x14ac:dyDescent="0.3">
      <c r="A58" s="1">
        <v>53</v>
      </c>
      <c r="B58" s="1">
        <f t="shared" si="10"/>
        <v>3975.5751922126215</v>
      </c>
      <c r="L58">
        <f t="shared" si="9"/>
        <v>2916.7785289200197</v>
      </c>
      <c r="M58">
        <f t="shared" si="1"/>
        <v>956.54258383772003</v>
      </c>
      <c r="V58">
        <f t="shared" si="6"/>
        <v>1696.6329999999998</v>
      </c>
      <c r="W58">
        <f t="shared" si="2"/>
        <v>991.38493351119473</v>
      </c>
      <c r="X58">
        <f t="shared" si="7"/>
        <v>1149.7979999999998</v>
      </c>
      <c r="Y58">
        <f t="shared" si="3"/>
        <v>447.90372948237325</v>
      </c>
      <c r="Z58">
        <f t="shared" si="8"/>
        <v>1149.7979999999998</v>
      </c>
      <c r="AA58">
        <f t="shared" si="4"/>
        <v>1343.7111884471194</v>
      </c>
    </row>
    <row r="59" spans="1:27" x14ac:dyDescent="0.3">
      <c r="A59" s="1">
        <v>54</v>
      </c>
      <c r="B59" s="1">
        <f t="shared" si="10"/>
        <v>3932.071903967847</v>
      </c>
      <c r="L59">
        <f t="shared" si="9"/>
        <v>2901.7785289200197</v>
      </c>
      <c r="M59">
        <f t="shared" si="1"/>
        <v>970.61110337317768</v>
      </c>
      <c r="V59">
        <f t="shared" si="6"/>
        <v>1651.6329999999998</v>
      </c>
      <c r="W59">
        <f t="shared" si="2"/>
        <v>983.29956616119478</v>
      </c>
      <c r="X59">
        <f t="shared" si="7"/>
        <v>1104.7979999999998</v>
      </c>
      <c r="Y59">
        <f t="shared" si="3"/>
        <v>438.49424796884011</v>
      </c>
      <c r="Z59">
        <f t="shared" si="8"/>
        <v>1104.7979999999998</v>
      </c>
      <c r="AA59">
        <f t="shared" si="4"/>
        <v>1315.4827439065198</v>
      </c>
    </row>
    <row r="60" spans="1:27" x14ac:dyDescent="0.3">
      <c r="A60" s="1">
        <v>55</v>
      </c>
      <c r="B60" s="1">
        <f t="shared" si="10"/>
        <v>3883.8837592084951</v>
      </c>
      <c r="L60">
        <f t="shared" si="9"/>
        <v>2886.7785289200197</v>
      </c>
      <c r="M60">
        <f t="shared" si="1"/>
        <v>984.48331889154406</v>
      </c>
      <c r="V60">
        <f t="shared" si="6"/>
        <v>1606.6329999999998</v>
      </c>
      <c r="W60">
        <f t="shared" si="2"/>
        <v>974.22194881119481</v>
      </c>
      <c r="X60">
        <f t="shared" si="7"/>
        <v>1059.7979999999998</v>
      </c>
      <c r="Y60">
        <f t="shared" si="3"/>
        <v>428.42326645530693</v>
      </c>
      <c r="Z60">
        <f t="shared" si="8"/>
        <v>1059.7979999999998</v>
      </c>
      <c r="AA60">
        <f t="shared" si="4"/>
        <v>1285.2697993659203</v>
      </c>
    </row>
    <row r="61" spans="1:27" x14ac:dyDescent="0.3">
      <c r="A61" s="1">
        <v>56</v>
      </c>
      <c r="B61" s="1">
        <f t="shared" si="10"/>
        <v>3831.0646725095653</v>
      </c>
      <c r="L61">
        <f t="shared" si="9"/>
        <v>2871.7785289200197</v>
      </c>
      <c r="M61">
        <f t="shared" si="1"/>
        <v>998.15923039281824</v>
      </c>
      <c r="V61">
        <f t="shared" si="6"/>
        <v>1561.6329999999998</v>
      </c>
      <c r="W61">
        <f t="shared" si="2"/>
        <v>964.15208146119471</v>
      </c>
      <c r="X61">
        <f t="shared" si="7"/>
        <v>1014.7979999999998</v>
      </c>
      <c r="Y61">
        <f t="shared" si="3"/>
        <v>417.69078494177381</v>
      </c>
      <c r="Z61">
        <f t="shared" si="8"/>
        <v>1014.7979999999998</v>
      </c>
      <c r="AA61">
        <f t="shared" si="4"/>
        <v>1253.0723548253211</v>
      </c>
    </row>
    <row r="62" spans="1:27" x14ac:dyDescent="0.3">
      <c r="A62" s="1">
        <v>57</v>
      </c>
      <c r="B62" s="1">
        <f t="shared" si="10"/>
        <v>3773.6744158292108</v>
      </c>
      <c r="L62">
        <f t="shared" si="9"/>
        <v>2856.7785289200197</v>
      </c>
      <c r="M62">
        <f t="shared" si="1"/>
        <v>1011.6388378770012</v>
      </c>
      <c r="V62">
        <f t="shared" si="6"/>
        <v>1516.6329999999998</v>
      </c>
      <c r="W62">
        <f t="shared" si="2"/>
        <v>953.08996411119472</v>
      </c>
      <c r="X62">
        <f t="shared" si="7"/>
        <v>969.79799999999977</v>
      </c>
      <c r="Y62">
        <f t="shared" si="3"/>
        <v>406.29680342824065</v>
      </c>
      <c r="Z62">
        <f t="shared" si="8"/>
        <v>969.79799999999977</v>
      </c>
      <c r="AA62">
        <f t="shared" si="4"/>
        <v>1218.8904102847214</v>
      </c>
    </row>
    <row r="63" spans="1:27" x14ac:dyDescent="0.3">
      <c r="A63" s="1">
        <v>58</v>
      </c>
      <c r="B63" s="1">
        <f t="shared" si="10"/>
        <v>3711.7785289200197</v>
      </c>
      <c r="L63">
        <f t="shared" si="9"/>
        <v>2841.7785289200197</v>
      </c>
      <c r="M63">
        <f t="shared" si="1"/>
        <v>1024.9221413440914</v>
      </c>
      <c r="V63">
        <f t="shared" si="6"/>
        <v>1471.6329999999998</v>
      </c>
      <c r="W63">
        <f t="shared" si="2"/>
        <v>941.03559676119471</v>
      </c>
      <c r="X63">
        <f t="shared" si="7"/>
        <v>924.79799999999977</v>
      </c>
      <c r="Y63">
        <f t="shared" si="3"/>
        <v>394.24132191470744</v>
      </c>
      <c r="Z63">
        <f t="shared" si="8"/>
        <v>924.79799999999977</v>
      </c>
      <c r="AA63">
        <f t="shared" si="4"/>
        <v>1182.7239657441221</v>
      </c>
    </row>
    <row r="64" spans="1:27" x14ac:dyDescent="0.3">
      <c r="A64" s="1">
        <v>59</v>
      </c>
      <c r="B64" s="1">
        <f t="shared" si="10"/>
        <v>3645.4482242001195</v>
      </c>
      <c r="L64">
        <f t="shared" si="9"/>
        <v>2826.7785289200197</v>
      </c>
      <c r="M64">
        <f t="shared" si="1"/>
        <v>1038.0091407940899</v>
      </c>
      <c r="V64">
        <f t="shared" si="6"/>
        <v>1426.6329999999998</v>
      </c>
      <c r="W64">
        <f t="shared" si="2"/>
        <v>927.9889794111948</v>
      </c>
      <c r="X64">
        <f t="shared" si="7"/>
        <v>879.79799999999977</v>
      </c>
      <c r="Y64">
        <f t="shared" si="3"/>
        <v>381.5243404011743</v>
      </c>
      <c r="Z64">
        <f t="shared" si="8"/>
        <v>879.79799999999977</v>
      </c>
      <c r="AA64">
        <f t="shared" si="4"/>
        <v>1144.5730212035223</v>
      </c>
    </row>
    <row r="65" spans="1:27" x14ac:dyDescent="0.3">
      <c r="A65" s="1">
        <v>60</v>
      </c>
      <c r="B65" s="1">
        <f t="shared" si="10"/>
        <v>3574.7602860415986</v>
      </c>
      <c r="L65">
        <f t="shared" si="9"/>
        <v>2811.7785289200197</v>
      </c>
      <c r="M65">
        <f t="shared" si="1"/>
        <v>1050.8998362269963</v>
      </c>
      <c r="V65">
        <f t="shared" si="6"/>
        <v>1381.6329999999998</v>
      </c>
      <c r="W65">
        <f t="shared" si="2"/>
        <v>913.95011206119466</v>
      </c>
      <c r="X65">
        <f t="shared" si="7"/>
        <v>834.79799999999977</v>
      </c>
      <c r="Y65">
        <f t="shared" si="3"/>
        <v>368.14585888764111</v>
      </c>
      <c r="Z65">
        <f t="shared" si="8"/>
        <v>834.79799999999977</v>
      </c>
      <c r="AA65">
        <f t="shared" si="4"/>
        <v>1104.437576662923</v>
      </c>
    </row>
    <row r="66" spans="1:27" x14ac:dyDescent="0.3">
      <c r="A66" s="1">
        <v>61</v>
      </c>
      <c r="B66" s="1">
        <f t="shared" si="10"/>
        <v>3499.7969644592818</v>
      </c>
      <c r="L66">
        <f t="shared" si="9"/>
        <v>2796.7785289200197</v>
      </c>
      <c r="M66">
        <f t="shared" si="1"/>
        <v>1063.5942276428113</v>
      </c>
      <c r="V66">
        <f t="shared" si="6"/>
        <v>1336.6329999999998</v>
      </c>
      <c r="W66">
        <f t="shared" si="2"/>
        <v>898.91899471119473</v>
      </c>
      <c r="X66">
        <f t="shared" si="7"/>
        <v>789.79799999999977</v>
      </c>
      <c r="Y66">
        <f t="shared" si="3"/>
        <v>354.10587737410799</v>
      </c>
      <c r="Z66">
        <f t="shared" si="8"/>
        <v>789.79799999999977</v>
      </c>
      <c r="AA66">
        <f t="shared" si="4"/>
        <v>1062.3176321223236</v>
      </c>
    </row>
    <row r="67" spans="1:27" x14ac:dyDescent="0.3">
      <c r="A67" s="1">
        <v>62</v>
      </c>
      <c r="B67" s="1">
        <f t="shared" si="10"/>
        <v>3420.6458632060671</v>
      </c>
      <c r="L67">
        <f t="shared" si="9"/>
        <v>2781.7785289200197</v>
      </c>
      <c r="M67">
        <f t="shared" si="1"/>
        <v>1076.0923150415342</v>
      </c>
      <c r="V67">
        <f t="shared" si="6"/>
        <v>1291.6329999999998</v>
      </c>
      <c r="W67">
        <f t="shared" si="2"/>
        <v>882.89562736119478</v>
      </c>
      <c r="X67">
        <f t="shared" si="7"/>
        <v>744.79799999999977</v>
      </c>
      <c r="Y67">
        <f t="shared" si="3"/>
        <v>339.40439586057482</v>
      </c>
      <c r="Z67">
        <f t="shared" si="8"/>
        <v>744.79799999999977</v>
      </c>
      <c r="AA67">
        <f t="shared" si="4"/>
        <v>1018.213187581724</v>
      </c>
    </row>
    <row r="68" spans="1:27" x14ac:dyDescent="0.3">
      <c r="A68" s="1">
        <v>63</v>
      </c>
      <c r="B68" s="1">
        <f t="shared" si="10"/>
        <v>3337.3998223019103</v>
      </c>
      <c r="L68">
        <f t="shared" si="9"/>
        <v>2766.7785289200197</v>
      </c>
      <c r="M68">
        <f t="shared" si="1"/>
        <v>1088.3940984231654</v>
      </c>
      <c r="V68">
        <f t="shared" si="6"/>
        <v>1246.6329999999998</v>
      </c>
      <c r="W68">
        <f t="shared" si="2"/>
        <v>865.88001001119471</v>
      </c>
      <c r="X68">
        <f t="shared" si="7"/>
        <v>699.79799999999977</v>
      </c>
      <c r="Y68">
        <f t="shared" si="3"/>
        <v>324.04141434704161</v>
      </c>
      <c r="Z68">
        <f t="shared" si="8"/>
        <v>699.79799999999977</v>
      </c>
      <c r="AA68">
        <f t="shared" si="4"/>
        <v>972.1242430411246</v>
      </c>
    </row>
    <row r="69" spans="1:27" x14ac:dyDescent="0.3">
      <c r="A69" s="1">
        <v>64</v>
      </c>
      <c r="B69" s="1">
        <f t="shared" ref="B69:B100" si="11" xml:space="preserve"> (($B$2^2)*SIN(RADIANS(A69))*COS(RADIANS(A69)) + ($B$2*COS(RADIANS(A69)) * SQRT($B$2^2 * (SIN(RADIANS(A69)))^2+2*$D$2*$A$2)))/($D$2)</f>
        <v>3250.1567950427775</v>
      </c>
      <c r="L69">
        <f t="shared" si="9"/>
        <v>2751.7785289200197</v>
      </c>
      <c r="M69">
        <f t="shared" ref="M69:M132" si="12" xml:space="preserve"> -$D$2/(2*($B$2)^2*(COS(RADIANS($C$2)))^2)*(L69)^2 + TAN(RADIANS($C$2))*L69</f>
        <v>1100.4995777877048</v>
      </c>
      <c r="V69">
        <f t="shared" si="6"/>
        <v>1201.6329999999998</v>
      </c>
      <c r="W69">
        <f t="shared" si="2"/>
        <v>847.87214266119463</v>
      </c>
      <c r="X69">
        <f t="shared" si="7"/>
        <v>654.79799999999977</v>
      </c>
      <c r="Y69">
        <f t="shared" si="3"/>
        <v>308.01693283350846</v>
      </c>
      <c r="Z69">
        <f t="shared" si="8"/>
        <v>654.79799999999977</v>
      </c>
      <c r="AA69">
        <f t="shared" si="4"/>
        <v>924.05079850052527</v>
      </c>
    </row>
    <row r="70" spans="1:27" x14ac:dyDescent="0.3">
      <c r="A70" s="1">
        <v>65</v>
      </c>
      <c r="B70" s="1">
        <f t="shared" si="11"/>
        <v>3159.019719553301</v>
      </c>
      <c r="L70">
        <f t="shared" si="9"/>
        <v>2736.7785289200197</v>
      </c>
      <c r="M70">
        <f t="shared" si="12"/>
        <v>1112.408753135152</v>
      </c>
      <c r="V70">
        <f t="shared" si="6"/>
        <v>1156.6329999999998</v>
      </c>
      <c r="W70">
        <f t="shared" ref="W70:W96" si="13" xml:space="preserve"> -$W$2/(2*($X$2)^2*(COS(RADIANS($Y$2)))^2)*(V70)^2 + TAN(RADIANS($Y$2))*V70</f>
        <v>828.87202531119465</v>
      </c>
      <c r="X70">
        <f t="shared" si="7"/>
        <v>609.79799999999977</v>
      </c>
      <c r="Y70">
        <f t="shared" ref="Y70:Y84" si="14" xml:space="preserve"> -$W$2/(2*($Z$2)^2*(COS(RADIANS($AA$2)))^2)*(X70)^2 + TAN(RADIANS($AA$2))*X70</f>
        <v>291.33095131997533</v>
      </c>
      <c r="Z70">
        <f t="shared" si="8"/>
        <v>609.79799999999977</v>
      </c>
      <c r="AA70">
        <f t="shared" ref="AA70:AA84" si="15" xml:space="preserve"> -$W$2/(2*($Z$2)^2*(COS(RADIANS($AC$2)))^2)*(Z70)^2 + TAN(RADIANS($AC$2))*Z70</f>
        <v>873.9928539599257</v>
      </c>
    </row>
    <row r="71" spans="1:27" x14ac:dyDescent="0.3">
      <c r="A71" s="1">
        <v>66</v>
      </c>
      <c r="B71" s="1">
        <f t="shared" si="11"/>
        <v>3064.0963849630111</v>
      </c>
      <c r="L71">
        <f t="shared" si="9"/>
        <v>2721.7785289200197</v>
      </c>
      <c r="M71">
        <f t="shared" si="12"/>
        <v>1124.1216244655075</v>
      </c>
      <c r="V71">
        <f t="shared" ref="V71:V94" si="16">V70 - 45</f>
        <v>1111.6329999999998</v>
      </c>
      <c r="W71">
        <f t="shared" si="13"/>
        <v>808.87965796119465</v>
      </c>
      <c r="X71">
        <f t="shared" ref="X71:X83" si="17" xml:space="preserve"> X70 - 45</f>
        <v>564.79799999999977</v>
      </c>
      <c r="Y71">
        <f t="shared" si="14"/>
        <v>273.98346980644214</v>
      </c>
      <c r="Z71">
        <f t="shared" si="8"/>
        <v>564.79799999999977</v>
      </c>
      <c r="AA71">
        <f t="shared" si="15"/>
        <v>821.95040941932621</v>
      </c>
    </row>
    <row r="72" spans="1:27" x14ac:dyDescent="0.3">
      <c r="A72" s="1">
        <v>67</v>
      </c>
      <c r="B72" s="1">
        <f t="shared" si="11"/>
        <v>2965.4992923007799</v>
      </c>
      <c r="L72">
        <f t="shared" si="9"/>
        <v>2706.7785289200197</v>
      </c>
      <c r="M72">
        <f t="shared" si="12"/>
        <v>1135.6381917787708</v>
      </c>
      <c r="V72">
        <f t="shared" si="16"/>
        <v>1066.6329999999998</v>
      </c>
      <c r="W72">
        <f t="shared" si="13"/>
        <v>787.89504061119464</v>
      </c>
      <c r="X72">
        <f t="shared" si="17"/>
        <v>519.79799999999977</v>
      </c>
      <c r="Y72">
        <f t="shared" si="14"/>
        <v>255.974488292909</v>
      </c>
      <c r="Z72">
        <f t="shared" si="8"/>
        <v>519.79799999999977</v>
      </c>
      <c r="AA72">
        <f t="shared" si="15"/>
        <v>767.9234648787268</v>
      </c>
    </row>
    <row r="73" spans="1:27" x14ac:dyDescent="0.3">
      <c r="A73" s="1">
        <v>68</v>
      </c>
      <c r="B73" s="1">
        <f t="shared" si="11"/>
        <v>2863.3455102158105</v>
      </c>
      <c r="L73">
        <f t="shared" si="9"/>
        <v>2691.7785289200197</v>
      </c>
      <c r="M73">
        <f t="shared" si="12"/>
        <v>1146.9584550749428</v>
      </c>
      <c r="V73">
        <f>V72 - 45</f>
        <v>1021.6329999999998</v>
      </c>
      <c r="W73">
        <f t="shared" si="13"/>
        <v>765.91817326119485</v>
      </c>
      <c r="X73">
        <f xml:space="preserve"> X72 - 45</f>
        <v>474.79799999999977</v>
      </c>
      <c r="Y73">
        <f t="shared" si="14"/>
        <v>237.30400677937581</v>
      </c>
      <c r="Z73">
        <f xml:space="preserve"> Z72 - 45</f>
        <v>474.79799999999977</v>
      </c>
      <c r="AA73">
        <f t="shared" si="15"/>
        <v>711.91202033812726</v>
      </c>
    </row>
    <row r="74" spans="1:27" x14ac:dyDescent="0.3">
      <c r="A74" s="1">
        <v>69</v>
      </c>
      <c r="B74" s="1">
        <f t="shared" si="11"/>
        <v>2757.7565256461908</v>
      </c>
      <c r="L74">
        <f t="shared" si="9"/>
        <v>2676.7785289200197</v>
      </c>
      <c r="M74">
        <f t="shared" si="12"/>
        <v>1158.0824143540221</v>
      </c>
      <c r="V74">
        <f t="shared" si="16"/>
        <v>976.63299999999981</v>
      </c>
      <c r="W74">
        <f t="shared" si="13"/>
        <v>742.94905591119482</v>
      </c>
      <c r="X74">
        <f t="shared" si="17"/>
        <v>429.79799999999977</v>
      </c>
      <c r="Y74">
        <f t="shared" si="14"/>
        <v>217.97202526584266</v>
      </c>
      <c r="Z74">
        <f t="shared" ref="Z74:Z83" si="18" xml:space="preserve"> Z73 - 45</f>
        <v>429.79799999999977</v>
      </c>
      <c r="AA74">
        <f t="shared" si="15"/>
        <v>653.91607579752781</v>
      </c>
    </row>
    <row r="75" spans="1:27" x14ac:dyDescent="0.3">
      <c r="A75" s="1">
        <v>70</v>
      </c>
      <c r="B75" s="1">
        <f t="shared" si="11"/>
        <v>2648.8580895677405</v>
      </c>
      <c r="L75">
        <f t="shared" si="9"/>
        <v>2661.7785289200197</v>
      </c>
      <c r="M75">
        <f t="shared" si="12"/>
        <v>1169.0100696160102</v>
      </c>
      <c r="V75">
        <f t="shared" si="16"/>
        <v>931.63299999999981</v>
      </c>
      <c r="W75">
        <f t="shared" si="13"/>
        <v>718.98768856119477</v>
      </c>
      <c r="X75">
        <f t="shared" si="17"/>
        <v>384.79799999999977</v>
      </c>
      <c r="Y75">
        <f t="shared" si="14"/>
        <v>197.97854375230949</v>
      </c>
      <c r="Z75">
        <f t="shared" si="18"/>
        <v>384.79799999999977</v>
      </c>
      <c r="AA75">
        <f t="shared" si="15"/>
        <v>593.93563125692833</v>
      </c>
    </row>
    <row r="76" spans="1:27" x14ac:dyDescent="0.3">
      <c r="A76" s="1">
        <v>71</v>
      </c>
      <c r="B76" s="1">
        <f t="shared" si="11"/>
        <v>2536.7800579668938</v>
      </c>
      <c r="L76">
        <f t="shared" si="9"/>
        <v>2646.7785289200197</v>
      </c>
      <c r="M76">
        <f t="shared" si="12"/>
        <v>1179.7414208609061</v>
      </c>
      <c r="V76">
        <f t="shared" si="16"/>
        <v>886.63299999999981</v>
      </c>
      <c r="W76">
        <f t="shared" si="13"/>
        <v>694.03407121119483</v>
      </c>
      <c r="X76">
        <f t="shared" si="17"/>
        <v>339.79799999999977</v>
      </c>
      <c r="Y76">
        <f t="shared" si="14"/>
        <v>177.32356223877633</v>
      </c>
      <c r="Z76">
        <f t="shared" si="18"/>
        <v>339.79799999999977</v>
      </c>
      <c r="AA76">
        <f t="shared" si="15"/>
        <v>531.97068671632894</v>
      </c>
    </row>
    <row r="77" spans="1:27" x14ac:dyDescent="0.3">
      <c r="A77" s="1">
        <v>72</v>
      </c>
      <c r="B77" s="1">
        <f t="shared" si="11"/>
        <v>2421.6562281914266</v>
      </c>
      <c r="L77">
        <f t="shared" si="9"/>
        <v>2631.7785289200197</v>
      </c>
      <c r="M77">
        <f t="shared" si="12"/>
        <v>1190.2764680887108</v>
      </c>
      <c r="V77">
        <f t="shared" si="16"/>
        <v>841.63299999999981</v>
      </c>
      <c r="W77">
        <f t="shared" si="13"/>
        <v>668.08820386119476</v>
      </c>
      <c r="X77">
        <f t="shared" si="17"/>
        <v>294.79799999999977</v>
      </c>
      <c r="Y77">
        <f t="shared" si="14"/>
        <v>156.00708072524318</v>
      </c>
      <c r="Z77">
        <f t="shared" si="18"/>
        <v>294.79799999999977</v>
      </c>
      <c r="AA77">
        <f t="shared" si="15"/>
        <v>468.02124217572941</v>
      </c>
    </row>
    <row r="78" spans="1:27" x14ac:dyDescent="0.3">
      <c r="A78" s="1">
        <v>73</v>
      </c>
      <c r="B78" s="1">
        <f t="shared" si="11"/>
        <v>2303.6241708424236</v>
      </c>
      <c r="L78">
        <f t="shared" si="9"/>
        <v>2616.7785289200197</v>
      </c>
      <c r="M78">
        <f t="shared" si="12"/>
        <v>1200.6152112994232</v>
      </c>
      <c r="V78">
        <f t="shared" si="16"/>
        <v>796.63299999999981</v>
      </c>
      <c r="W78">
        <f t="shared" si="13"/>
        <v>641.15008651119479</v>
      </c>
      <c r="X78">
        <f t="shared" si="17"/>
        <v>249.79799999999977</v>
      </c>
      <c r="Y78">
        <f t="shared" si="14"/>
        <v>134.02909921171002</v>
      </c>
      <c r="Z78">
        <f t="shared" si="18"/>
        <v>249.79799999999977</v>
      </c>
      <c r="AA78">
        <f t="shared" si="15"/>
        <v>402.08729763512991</v>
      </c>
    </row>
    <row r="79" spans="1:27" x14ac:dyDescent="0.3">
      <c r="A79" s="1">
        <v>74</v>
      </c>
      <c r="B79" s="1">
        <f t="shared" si="11"/>
        <v>2182.8250573796163</v>
      </c>
      <c r="L79">
        <f t="shared" ref="L79:L142" si="19" xml:space="preserve"> L78 - 15</f>
        <v>2601.7785289200197</v>
      </c>
      <c r="M79">
        <f t="shared" si="12"/>
        <v>1210.7576504930439</v>
      </c>
      <c r="V79">
        <f t="shared" si="16"/>
        <v>751.63299999999981</v>
      </c>
      <c r="W79">
        <f t="shared" si="13"/>
        <v>613.2197191611948</v>
      </c>
      <c r="X79">
        <f t="shared" si="17"/>
        <v>204.79799999999977</v>
      </c>
      <c r="Y79">
        <f t="shared" si="14"/>
        <v>111.38961769817686</v>
      </c>
      <c r="Z79">
        <f t="shared" si="18"/>
        <v>204.79799999999977</v>
      </c>
      <c r="AA79">
        <f t="shared" si="15"/>
        <v>334.1688530945305</v>
      </c>
    </row>
    <row r="80" spans="1:27" x14ac:dyDescent="0.3">
      <c r="A80" s="1">
        <v>75</v>
      </c>
      <c r="B80" s="1">
        <f t="shared" si="11"/>
        <v>2059.4034836205346</v>
      </c>
      <c r="L80">
        <f t="shared" si="19"/>
        <v>2586.7785289200197</v>
      </c>
      <c r="M80">
        <f t="shared" si="12"/>
        <v>1220.7037856695724</v>
      </c>
      <c r="V80">
        <f t="shared" si="16"/>
        <v>706.63299999999981</v>
      </c>
      <c r="W80">
        <f t="shared" si="13"/>
        <v>584.29710181119481</v>
      </c>
      <c r="X80">
        <f t="shared" si="17"/>
        <v>159.79799999999977</v>
      </c>
      <c r="Y80">
        <f t="shared" si="14"/>
        <v>88.08863618464369</v>
      </c>
      <c r="Z80">
        <f t="shared" si="18"/>
        <v>159.79799999999977</v>
      </c>
      <c r="AA80">
        <f t="shared" si="15"/>
        <v>264.26590855393101</v>
      </c>
    </row>
    <row r="81" spans="1:27" x14ac:dyDescent="0.3">
      <c r="A81" s="1">
        <v>76</v>
      </c>
      <c r="B81" s="1">
        <f t="shared" si="11"/>
        <v>1933.5072893215083</v>
      </c>
      <c r="L81">
        <f t="shared" si="19"/>
        <v>2571.7785289200197</v>
      </c>
      <c r="M81">
        <f t="shared" si="12"/>
        <v>1230.4536168290092</v>
      </c>
      <c r="V81">
        <f t="shared" si="16"/>
        <v>661.63299999999981</v>
      </c>
      <c r="W81">
        <f t="shared" si="13"/>
        <v>554.3822344611948</v>
      </c>
      <c r="X81">
        <f t="shared" si="17"/>
        <v>114.79799999999977</v>
      </c>
      <c r="Y81">
        <f t="shared" si="14"/>
        <v>64.126154671110527</v>
      </c>
      <c r="Z81">
        <f t="shared" si="18"/>
        <v>114.79799999999977</v>
      </c>
      <c r="AA81">
        <f t="shared" si="15"/>
        <v>192.37846401333155</v>
      </c>
    </row>
    <row r="82" spans="1:27" x14ac:dyDescent="0.3">
      <c r="A82" s="1">
        <v>77</v>
      </c>
      <c r="B82" s="1">
        <f t="shared" si="11"/>
        <v>1805.287374035734</v>
      </c>
      <c r="L82">
        <f t="shared" si="19"/>
        <v>2556.7785289200197</v>
      </c>
      <c r="M82">
        <f t="shared" si="12"/>
        <v>1240.0071439713547</v>
      </c>
      <c r="V82">
        <f t="shared" si="16"/>
        <v>616.63299999999981</v>
      </c>
      <c r="W82">
        <f t="shared" si="13"/>
        <v>523.47511711119478</v>
      </c>
      <c r="X82">
        <f t="shared" si="17"/>
        <v>69.797999999999774</v>
      </c>
      <c r="Y82">
        <f t="shared" si="14"/>
        <v>39.502173157577367</v>
      </c>
      <c r="Z82">
        <f t="shared" si="18"/>
        <v>69.797999999999774</v>
      </c>
      <c r="AA82">
        <f t="shared" si="15"/>
        <v>118.50651947273208</v>
      </c>
    </row>
    <row r="83" spans="1:27" x14ac:dyDescent="0.3">
      <c r="A83" s="1">
        <v>78</v>
      </c>
      <c r="B83" s="1">
        <f t="shared" si="11"/>
        <v>1674.8975094502064</v>
      </c>
      <c r="L83">
        <f t="shared" si="19"/>
        <v>2541.7785289200197</v>
      </c>
      <c r="M83">
        <f t="shared" si="12"/>
        <v>1249.3643670966076</v>
      </c>
      <c r="V83">
        <f t="shared" si="16"/>
        <v>571.63299999999981</v>
      </c>
      <c r="W83">
        <f t="shared" si="13"/>
        <v>491.57574976119474</v>
      </c>
      <c r="X83">
        <f t="shared" si="17"/>
        <v>24.797999999999774</v>
      </c>
      <c r="Y83">
        <f t="shared" si="14"/>
        <v>14.216691644044211</v>
      </c>
      <c r="Z83">
        <f t="shared" si="18"/>
        <v>24.797999999999774</v>
      </c>
      <c r="AA83">
        <f t="shared" si="15"/>
        <v>42.650074932132618</v>
      </c>
    </row>
    <row r="84" spans="1:27" x14ac:dyDescent="0.3">
      <c r="A84" s="1">
        <v>79</v>
      </c>
      <c r="B84" s="1">
        <f t="shared" si="11"/>
        <v>1542.4941484094657</v>
      </c>
      <c r="L84">
        <f t="shared" si="19"/>
        <v>2526.7785289200197</v>
      </c>
      <c r="M84">
        <f t="shared" si="12"/>
        <v>1258.5252862047691</v>
      </c>
      <c r="V84">
        <f t="shared" si="16"/>
        <v>526.63299999999981</v>
      </c>
      <c r="W84">
        <f t="shared" si="13"/>
        <v>458.68413241119475</v>
      </c>
      <c r="X84">
        <v>0</v>
      </c>
      <c r="Y84">
        <f t="shared" si="14"/>
        <v>0</v>
      </c>
      <c r="Z84">
        <v>0</v>
      </c>
      <c r="AA84">
        <f t="shared" si="15"/>
        <v>0</v>
      </c>
    </row>
    <row r="85" spans="1:27" x14ac:dyDescent="0.3">
      <c r="A85" s="1">
        <v>80</v>
      </c>
      <c r="B85" s="1">
        <f t="shared" si="11"/>
        <v>1408.236230839778</v>
      </c>
      <c r="L85">
        <f t="shared" si="19"/>
        <v>2511.7785289200197</v>
      </c>
      <c r="M85">
        <f t="shared" si="12"/>
        <v>1267.4899012958385</v>
      </c>
      <c r="V85">
        <f t="shared" si="16"/>
        <v>481.63299999999981</v>
      </c>
      <c r="W85">
        <f t="shared" si="13"/>
        <v>424.80026506119481</v>
      </c>
    </row>
    <row r="86" spans="1:27" x14ac:dyDescent="0.3">
      <c r="A86" s="1">
        <v>81</v>
      </c>
      <c r="B86" s="1">
        <f t="shared" si="11"/>
        <v>1272.2849867925554</v>
      </c>
      <c r="L86">
        <f t="shared" si="19"/>
        <v>2496.7785289200197</v>
      </c>
      <c r="M86">
        <f t="shared" si="12"/>
        <v>1276.2582123698157</v>
      </c>
      <c r="V86">
        <f t="shared" si="16"/>
        <v>436.63299999999981</v>
      </c>
      <c r="W86">
        <f t="shared" si="13"/>
        <v>389.92414771119479</v>
      </c>
    </row>
    <row r="87" spans="1:27" x14ac:dyDescent="0.3">
      <c r="A87" s="1">
        <v>82</v>
      </c>
      <c r="B87" s="1">
        <f t="shared" si="11"/>
        <v>1134.8037368306148</v>
      </c>
      <c r="L87">
        <f t="shared" si="19"/>
        <v>2481.7785289200197</v>
      </c>
      <c r="M87">
        <f t="shared" si="12"/>
        <v>1284.8302194267017</v>
      </c>
      <c r="V87">
        <f t="shared" si="16"/>
        <v>391.63299999999981</v>
      </c>
      <c r="W87">
        <f t="shared" si="13"/>
        <v>354.05578036119482</v>
      </c>
    </row>
    <row r="88" spans="1:27" x14ac:dyDescent="0.3">
      <c r="A88" s="1">
        <v>83</v>
      </c>
      <c r="B88" s="1">
        <f t="shared" si="11"/>
        <v>995.9576899852218</v>
      </c>
      <c r="L88">
        <f t="shared" si="19"/>
        <v>2466.7785289200197</v>
      </c>
      <c r="M88">
        <f t="shared" si="12"/>
        <v>1293.2059224664954</v>
      </c>
      <c r="V88">
        <f t="shared" si="16"/>
        <v>346.63299999999981</v>
      </c>
      <c r="W88">
        <f t="shared" si="13"/>
        <v>317.19516301119478</v>
      </c>
    </row>
    <row r="89" spans="1:27" x14ac:dyDescent="0.3">
      <c r="A89" s="1">
        <v>84</v>
      </c>
      <c r="B89" s="1">
        <f t="shared" si="11"/>
        <v>855.91373951577259</v>
      </c>
      <c r="L89">
        <f t="shared" si="19"/>
        <v>2451.7785289200197</v>
      </c>
      <c r="M89">
        <f t="shared" si="12"/>
        <v>1301.3853214891974</v>
      </c>
      <c r="V89">
        <f t="shared" si="16"/>
        <v>301.63299999999981</v>
      </c>
      <c r="W89">
        <f t="shared" si="13"/>
        <v>279.34229566119478</v>
      </c>
    </row>
    <row r="90" spans="1:27" x14ac:dyDescent="0.3">
      <c r="A90" s="1">
        <v>85</v>
      </c>
      <c r="B90" s="1">
        <f t="shared" si="11"/>
        <v>714.84025670750304</v>
      </c>
      <c r="L90">
        <f t="shared" si="19"/>
        <v>2436.7785289200197</v>
      </c>
      <c r="M90">
        <f t="shared" si="12"/>
        <v>1309.3684164948072</v>
      </c>
      <c r="V90">
        <f t="shared" si="16"/>
        <v>256.63299999999981</v>
      </c>
      <c r="W90">
        <f t="shared" si="13"/>
        <v>240.49717831119477</v>
      </c>
    </row>
    <row r="91" spans="1:27" x14ac:dyDescent="0.3">
      <c r="A91" s="1">
        <v>86</v>
      </c>
      <c r="B91" s="1">
        <f t="shared" si="11"/>
        <v>572.90688294571123</v>
      </c>
      <c r="L91">
        <f t="shared" si="19"/>
        <v>2421.7785289200197</v>
      </c>
      <c r="M91">
        <f t="shared" si="12"/>
        <v>1317.1552074833257</v>
      </c>
      <c r="V91">
        <f t="shared" si="16"/>
        <v>211.63299999999981</v>
      </c>
      <c r="W91">
        <f t="shared" si="13"/>
        <v>200.65981096119481</v>
      </c>
    </row>
    <row r="92" spans="1:27" x14ac:dyDescent="0.3">
      <c r="A92" s="1">
        <v>87</v>
      </c>
      <c r="B92" s="1">
        <f t="shared" si="11"/>
        <v>430.28432030770085</v>
      </c>
      <c r="L92">
        <f t="shared" si="19"/>
        <v>2406.7785289200197</v>
      </c>
      <c r="M92">
        <f t="shared" si="12"/>
        <v>1324.7456944547516</v>
      </c>
      <c r="V92">
        <f t="shared" si="16"/>
        <v>166.63299999999981</v>
      </c>
      <c r="W92">
        <f t="shared" si="13"/>
        <v>159.8301936111948</v>
      </c>
    </row>
    <row r="93" spans="1:27" x14ac:dyDescent="0.3">
      <c r="A93" s="1">
        <v>88</v>
      </c>
      <c r="B93" s="1">
        <f t="shared" si="11"/>
        <v>287.14412091595437</v>
      </c>
      <c r="L93">
        <f t="shared" si="19"/>
        <v>2391.7785289200197</v>
      </c>
      <c r="M93">
        <f t="shared" si="12"/>
        <v>1332.1398774090867</v>
      </c>
      <c r="V93">
        <f t="shared" si="16"/>
        <v>121.63299999999981</v>
      </c>
      <c r="W93">
        <f t="shared" si="13"/>
        <v>118.00832626119481</v>
      </c>
    </row>
    <row r="94" spans="1:27" x14ac:dyDescent="0.3">
      <c r="A94" s="1">
        <v>89</v>
      </c>
      <c r="B94" s="1">
        <f t="shared" si="11"/>
        <v>143.65847529801135</v>
      </c>
      <c r="L94">
        <f t="shared" si="19"/>
        <v>2376.7785289200197</v>
      </c>
      <c r="M94">
        <f t="shared" si="12"/>
        <v>1339.3377563463296</v>
      </c>
      <c r="V94">
        <f t="shared" si="16"/>
        <v>76.632999999999811</v>
      </c>
      <c r="W94">
        <f t="shared" si="13"/>
        <v>75.194208911194806</v>
      </c>
    </row>
    <row r="95" spans="1:27" x14ac:dyDescent="0.3">
      <c r="A95" s="1">
        <v>90</v>
      </c>
      <c r="B95" s="1">
        <f t="shared" si="11"/>
        <v>5.0431246106388027E-13</v>
      </c>
      <c r="L95">
        <f t="shared" si="19"/>
        <v>2361.7785289200197</v>
      </c>
      <c r="M95">
        <f t="shared" si="12"/>
        <v>1346.3393312664803</v>
      </c>
      <c r="V95">
        <f>V94 - 45</f>
        <v>31.632999999999811</v>
      </c>
      <c r="W95">
        <f t="shared" si="13"/>
        <v>31.387841561194811</v>
      </c>
    </row>
    <row r="96" spans="1:27" x14ac:dyDescent="0.3">
      <c r="A96" s="1">
        <v>91</v>
      </c>
      <c r="B96" s="1">
        <f t="shared" si="11"/>
        <v>-143.65847529801036</v>
      </c>
      <c r="L96">
        <f t="shared" si="19"/>
        <v>2346.7785289200197</v>
      </c>
      <c r="M96">
        <f t="shared" si="12"/>
        <v>1353.1446021695392</v>
      </c>
      <c r="V96">
        <v>0</v>
      </c>
      <c r="W96">
        <f t="shared" si="13"/>
        <v>0</v>
      </c>
    </row>
    <row r="97" spans="1:13" x14ac:dyDescent="0.3">
      <c r="A97" s="1">
        <v>92</v>
      </c>
      <c r="B97" s="1">
        <f t="shared" si="11"/>
        <v>-287.14412091595335</v>
      </c>
      <c r="L97">
        <f t="shared" si="19"/>
        <v>2331.7785289200197</v>
      </c>
      <c r="M97">
        <f t="shared" si="12"/>
        <v>1359.753569055506</v>
      </c>
    </row>
    <row r="98" spans="1:13" x14ac:dyDescent="0.3">
      <c r="A98" s="1">
        <v>93</v>
      </c>
      <c r="B98" s="1">
        <f t="shared" si="11"/>
        <v>-430.28432030769983</v>
      </c>
      <c r="L98">
        <f t="shared" si="19"/>
        <v>2316.7785289200197</v>
      </c>
      <c r="M98">
        <f t="shared" si="12"/>
        <v>1366.1662319243815</v>
      </c>
    </row>
    <row r="99" spans="1:13" x14ac:dyDescent="0.3">
      <c r="A99" s="1">
        <v>94</v>
      </c>
      <c r="B99" s="1">
        <f t="shared" si="11"/>
        <v>-572.90688294571191</v>
      </c>
      <c r="L99">
        <f t="shared" si="19"/>
        <v>2301.7785289200197</v>
      </c>
      <c r="M99">
        <f t="shared" si="12"/>
        <v>1372.3825907761643</v>
      </c>
    </row>
    <row r="100" spans="1:13" x14ac:dyDescent="0.3">
      <c r="A100" s="1">
        <v>95</v>
      </c>
      <c r="B100" s="1">
        <f t="shared" si="11"/>
        <v>-714.84025670750373</v>
      </c>
      <c r="L100">
        <f t="shared" si="19"/>
        <v>2286.7785289200197</v>
      </c>
      <c r="M100">
        <f t="shared" si="12"/>
        <v>1378.4026456108559</v>
      </c>
    </row>
    <row r="101" spans="1:13" x14ac:dyDescent="0.3">
      <c r="A101" s="1">
        <v>96</v>
      </c>
      <c r="B101" s="1">
        <f t="shared" ref="B101:B132" si="20" xml:space="preserve"> (($B$2^2)*SIN(RADIANS(A101))*COS(RADIANS(A101)) + ($B$2*COS(RADIANS(A101)) * SQRT($B$2^2 * (SIN(RADIANS(A101)))^2+2*$D$2*$A$2)))/($D$2)</f>
        <v>-855.91373951577327</v>
      </c>
      <c r="L101">
        <f t="shared" si="19"/>
        <v>2271.7785289200197</v>
      </c>
      <c r="M101">
        <f t="shared" si="12"/>
        <v>1384.2263964284552</v>
      </c>
    </row>
    <row r="102" spans="1:13" x14ac:dyDescent="0.3">
      <c r="A102" s="1">
        <v>97</v>
      </c>
      <c r="B102" s="1">
        <f t="shared" si="20"/>
        <v>-995.9576899852209</v>
      </c>
      <c r="L102">
        <f t="shared" si="19"/>
        <v>2256.7785289200197</v>
      </c>
      <c r="M102">
        <f t="shared" si="12"/>
        <v>1389.8538432289633</v>
      </c>
    </row>
    <row r="103" spans="1:13" x14ac:dyDescent="0.3">
      <c r="A103" s="1">
        <v>98</v>
      </c>
      <c r="B103" s="1">
        <f t="shared" si="20"/>
        <v>-1134.8037368306138</v>
      </c>
      <c r="L103">
        <f t="shared" si="19"/>
        <v>2241.7785289200197</v>
      </c>
      <c r="M103">
        <f t="shared" si="12"/>
        <v>1395.2849860123792</v>
      </c>
    </row>
    <row r="104" spans="1:13" x14ac:dyDescent="0.3">
      <c r="A104" s="1">
        <v>99</v>
      </c>
      <c r="B104" s="1">
        <f t="shared" si="20"/>
        <v>-1272.2849867925543</v>
      </c>
      <c r="L104">
        <f t="shared" si="19"/>
        <v>2226.7785289200197</v>
      </c>
      <c r="M104">
        <f t="shared" si="12"/>
        <v>1400.519824778703</v>
      </c>
    </row>
    <row r="105" spans="1:13" x14ac:dyDescent="0.3">
      <c r="A105" s="1">
        <v>100</v>
      </c>
      <c r="B105" s="1">
        <f t="shared" si="20"/>
        <v>-1408.2362308397769</v>
      </c>
      <c r="L105">
        <f t="shared" si="19"/>
        <v>2211.7785289200197</v>
      </c>
      <c r="M105">
        <f t="shared" si="12"/>
        <v>1405.5583595279359</v>
      </c>
    </row>
    <row r="106" spans="1:13" x14ac:dyDescent="0.3">
      <c r="A106" s="1">
        <v>101</v>
      </c>
      <c r="B106" s="1">
        <f t="shared" si="20"/>
        <v>-1542.4941484094645</v>
      </c>
      <c r="L106">
        <f t="shared" si="19"/>
        <v>2196.7785289200197</v>
      </c>
      <c r="M106">
        <f t="shared" si="12"/>
        <v>1410.4005902600757</v>
      </c>
    </row>
    <row r="107" spans="1:13" x14ac:dyDescent="0.3">
      <c r="A107" s="1">
        <v>102</v>
      </c>
      <c r="B107" s="1">
        <f t="shared" si="20"/>
        <v>-1674.8975094502057</v>
      </c>
      <c r="L107">
        <f t="shared" si="19"/>
        <v>2181.7785289200197</v>
      </c>
      <c r="M107">
        <f t="shared" si="12"/>
        <v>1415.0465169751246</v>
      </c>
    </row>
    <row r="108" spans="1:13" x14ac:dyDescent="0.3">
      <c r="A108" s="1">
        <v>103</v>
      </c>
      <c r="B108" s="1">
        <f t="shared" si="20"/>
        <v>-1805.2873740357347</v>
      </c>
      <c r="L108">
        <f t="shared" si="19"/>
        <v>2166.7785289200197</v>
      </c>
      <c r="M108">
        <f t="shared" si="12"/>
        <v>1419.496139673081</v>
      </c>
    </row>
    <row r="109" spans="1:13" x14ac:dyDescent="0.3">
      <c r="A109" s="1">
        <v>104</v>
      </c>
      <c r="B109" s="1">
        <f t="shared" si="20"/>
        <v>-1933.5072893215097</v>
      </c>
      <c r="L109">
        <f t="shared" si="19"/>
        <v>2151.7785289200197</v>
      </c>
      <c r="M109">
        <f t="shared" si="12"/>
        <v>1423.7494583539456</v>
      </c>
    </row>
    <row r="110" spans="1:13" x14ac:dyDescent="0.3">
      <c r="A110" s="1">
        <v>105</v>
      </c>
      <c r="B110" s="1">
        <f t="shared" si="20"/>
        <v>-2059.4034836205356</v>
      </c>
      <c r="L110">
        <f t="shared" si="19"/>
        <v>2136.7785289200197</v>
      </c>
      <c r="M110">
        <f t="shared" si="12"/>
        <v>1427.8064730177182</v>
      </c>
    </row>
    <row r="111" spans="1:13" x14ac:dyDescent="0.3">
      <c r="A111" s="1">
        <v>106</v>
      </c>
      <c r="B111" s="1">
        <f t="shared" si="20"/>
        <v>-2182.8250573796158</v>
      </c>
      <c r="L111">
        <f t="shared" si="19"/>
        <v>2121.7785289200197</v>
      </c>
      <c r="M111">
        <f t="shared" si="12"/>
        <v>1431.6671836643993</v>
      </c>
    </row>
    <row r="112" spans="1:13" x14ac:dyDescent="0.3">
      <c r="A112" s="1">
        <v>107</v>
      </c>
      <c r="B112" s="1">
        <f t="shared" si="20"/>
        <v>-2303.6241708424227</v>
      </c>
      <c r="L112">
        <f t="shared" si="19"/>
        <v>2106.7785289200197</v>
      </c>
      <c r="M112">
        <f t="shared" si="12"/>
        <v>1435.3315902939887</v>
      </c>
    </row>
    <row r="113" spans="1:13" x14ac:dyDescent="0.3">
      <c r="A113" s="1">
        <v>108</v>
      </c>
      <c r="B113" s="1">
        <f t="shared" si="20"/>
        <v>-2421.6562281914262</v>
      </c>
      <c r="L113">
        <f t="shared" si="19"/>
        <v>2091.7785289200197</v>
      </c>
      <c r="M113">
        <f t="shared" si="12"/>
        <v>1438.7996929064857</v>
      </c>
    </row>
    <row r="114" spans="1:13" x14ac:dyDescent="0.3">
      <c r="A114" s="1">
        <v>109</v>
      </c>
      <c r="B114" s="1">
        <f t="shared" si="20"/>
        <v>-2536.7800579668929</v>
      </c>
      <c r="L114">
        <f t="shared" si="19"/>
        <v>2076.7785289200197</v>
      </c>
      <c r="M114">
        <f t="shared" si="12"/>
        <v>1442.0714915018912</v>
      </c>
    </row>
    <row r="115" spans="1:13" x14ac:dyDescent="0.3">
      <c r="A115" s="1">
        <v>110</v>
      </c>
      <c r="B115" s="1">
        <f t="shared" si="20"/>
        <v>-2648.8580895677396</v>
      </c>
      <c r="L115">
        <f t="shared" si="19"/>
        <v>2061.7785289200197</v>
      </c>
      <c r="M115">
        <f t="shared" si="12"/>
        <v>1445.1469860802044</v>
      </c>
    </row>
    <row r="116" spans="1:13" x14ac:dyDescent="0.3">
      <c r="A116" s="1">
        <v>111</v>
      </c>
      <c r="B116" s="1">
        <f t="shared" si="20"/>
        <v>-2757.7565256461903</v>
      </c>
      <c r="L116">
        <f t="shared" si="19"/>
        <v>2046.7785289200197</v>
      </c>
      <c r="M116">
        <f t="shared" si="12"/>
        <v>1448.0261766414262</v>
      </c>
    </row>
    <row r="117" spans="1:13" x14ac:dyDescent="0.3">
      <c r="A117" s="1">
        <v>112</v>
      </c>
      <c r="B117" s="1">
        <f t="shared" si="20"/>
        <v>-2863.3455102158118</v>
      </c>
      <c r="L117">
        <f t="shared" si="19"/>
        <v>2031.7785289200197</v>
      </c>
      <c r="M117">
        <f t="shared" si="12"/>
        <v>1450.709063185556</v>
      </c>
    </row>
    <row r="118" spans="1:13" x14ac:dyDescent="0.3">
      <c r="A118" s="1">
        <v>113</v>
      </c>
      <c r="B118" s="1">
        <f t="shared" si="20"/>
        <v>-2965.4992923007799</v>
      </c>
      <c r="L118">
        <f t="shared" si="19"/>
        <v>2016.7785289200197</v>
      </c>
      <c r="M118">
        <f t="shared" si="12"/>
        <v>1453.1956457125943</v>
      </c>
    </row>
    <row r="119" spans="1:13" x14ac:dyDescent="0.3">
      <c r="A119" s="1">
        <v>114</v>
      </c>
      <c r="B119" s="1">
        <f t="shared" si="20"/>
        <v>-3064.0963849630111</v>
      </c>
      <c r="L119">
        <f t="shared" si="19"/>
        <v>2001.7785289200197</v>
      </c>
      <c r="M119">
        <f t="shared" si="12"/>
        <v>1455.4859242225405</v>
      </c>
    </row>
    <row r="120" spans="1:13" x14ac:dyDescent="0.3">
      <c r="A120" s="1">
        <v>115</v>
      </c>
      <c r="B120" s="1">
        <f t="shared" si="20"/>
        <v>-3159.0197195533001</v>
      </c>
      <c r="L120">
        <f t="shared" si="19"/>
        <v>1986.7785289200197</v>
      </c>
      <c r="M120">
        <f t="shared" si="12"/>
        <v>1457.5798987153946</v>
      </c>
    </row>
    <row r="121" spans="1:13" x14ac:dyDescent="0.3">
      <c r="A121" s="1">
        <v>116</v>
      </c>
      <c r="B121" s="1">
        <f t="shared" si="20"/>
        <v>-3250.1567950427784</v>
      </c>
      <c r="L121">
        <f t="shared" si="19"/>
        <v>1971.7785289200197</v>
      </c>
      <c r="M121">
        <f t="shared" si="12"/>
        <v>1459.4775691911568</v>
      </c>
    </row>
    <row r="122" spans="1:13" x14ac:dyDescent="0.3">
      <c r="A122" s="1">
        <v>117</v>
      </c>
      <c r="B122" s="1">
        <f t="shared" si="20"/>
        <v>-3337.3998223019103</v>
      </c>
      <c r="L122">
        <f t="shared" si="19"/>
        <v>1956.7785289200197</v>
      </c>
      <c r="M122">
        <f t="shared" si="12"/>
        <v>1461.1789356498273</v>
      </c>
    </row>
    <row r="123" spans="1:13" x14ac:dyDescent="0.3">
      <c r="A123" s="1">
        <v>118</v>
      </c>
      <c r="B123" s="1">
        <f t="shared" si="20"/>
        <v>-3420.6458632060671</v>
      </c>
      <c r="L123">
        <f t="shared" si="19"/>
        <v>1941.7785289200197</v>
      </c>
      <c r="M123">
        <f t="shared" si="12"/>
        <v>1462.683998091406</v>
      </c>
    </row>
    <row r="124" spans="1:13" x14ac:dyDescent="0.3">
      <c r="A124" s="1">
        <v>119</v>
      </c>
      <c r="B124" s="1">
        <f t="shared" si="20"/>
        <v>-3499.7969644592813</v>
      </c>
      <c r="L124">
        <f t="shared" si="19"/>
        <v>1926.7785289200197</v>
      </c>
      <c r="M124">
        <f t="shared" si="12"/>
        <v>1463.9927565158928</v>
      </c>
    </row>
    <row r="125" spans="1:13" x14ac:dyDescent="0.3">
      <c r="A125" s="1">
        <v>120</v>
      </c>
      <c r="B125" s="1">
        <f t="shared" si="20"/>
        <v>-3574.7602860415955</v>
      </c>
      <c r="L125">
        <f t="shared" si="19"/>
        <v>1911.7785289200197</v>
      </c>
      <c r="M125">
        <f t="shared" si="12"/>
        <v>1465.1052109232876</v>
      </c>
    </row>
    <row r="126" spans="1:13" x14ac:dyDescent="0.3">
      <c r="A126" s="1">
        <v>121</v>
      </c>
      <c r="B126" s="1">
        <f t="shared" si="20"/>
        <v>-3645.4482242001213</v>
      </c>
      <c r="L126">
        <f t="shared" si="19"/>
        <v>1896.7785289200197</v>
      </c>
      <c r="M126">
        <f t="shared" si="12"/>
        <v>1466.0213613135907</v>
      </c>
    </row>
    <row r="127" spans="1:13" x14ac:dyDescent="0.3">
      <c r="A127" s="1">
        <v>122</v>
      </c>
      <c r="B127" s="1">
        <f t="shared" si="20"/>
        <v>-3711.7785289200192</v>
      </c>
      <c r="L127">
        <f t="shared" si="19"/>
        <v>1881.7785289200197</v>
      </c>
      <c r="M127">
        <f t="shared" si="12"/>
        <v>1466.7412076868018</v>
      </c>
    </row>
    <row r="128" spans="1:13" x14ac:dyDescent="0.3">
      <c r="A128" s="1">
        <v>123</v>
      </c>
      <c r="B128" s="1">
        <f t="shared" si="20"/>
        <v>-3773.6744158292108</v>
      </c>
      <c r="L128">
        <f t="shared" si="19"/>
        <v>1866.7785289200197</v>
      </c>
      <c r="M128">
        <f t="shared" si="12"/>
        <v>1467.2647500429209</v>
      </c>
    </row>
    <row r="129" spans="1:13" x14ac:dyDescent="0.3">
      <c r="A129" s="1">
        <v>124</v>
      </c>
      <c r="B129" s="1">
        <f t="shared" si="20"/>
        <v>-3831.0646725095644</v>
      </c>
      <c r="L129">
        <f t="shared" si="19"/>
        <v>1851.7785289200197</v>
      </c>
      <c r="M129">
        <f t="shared" si="12"/>
        <v>1467.5919883819483</v>
      </c>
    </row>
    <row r="130" spans="1:13" x14ac:dyDescent="0.3">
      <c r="A130" s="1">
        <v>125</v>
      </c>
      <c r="B130" s="1">
        <f t="shared" si="20"/>
        <v>-3883.8837592084942</v>
      </c>
      <c r="L130">
        <f t="shared" si="19"/>
        <v>1836.7785289200197</v>
      </c>
      <c r="M130">
        <f t="shared" si="12"/>
        <v>1467.7229227038845</v>
      </c>
    </row>
    <row r="131" spans="1:13" x14ac:dyDescent="0.3">
      <c r="A131" s="1">
        <v>126</v>
      </c>
      <c r="B131" s="1">
        <f t="shared" si="20"/>
        <v>-3932.0719039678461</v>
      </c>
      <c r="L131">
        <f t="shared" si="19"/>
        <v>1821.7785289200197</v>
      </c>
      <c r="M131">
        <f t="shared" si="12"/>
        <v>1467.657553008728</v>
      </c>
    </row>
    <row r="132" spans="1:13" x14ac:dyDescent="0.3">
      <c r="A132" s="1">
        <v>127</v>
      </c>
      <c r="B132" s="1">
        <f t="shared" si="20"/>
        <v>-3975.5751922126205</v>
      </c>
      <c r="L132">
        <f t="shared" si="19"/>
        <v>1806.7785289200197</v>
      </c>
      <c r="M132">
        <f t="shared" si="12"/>
        <v>1467.3958792964802</v>
      </c>
    </row>
    <row r="133" spans="1:13" x14ac:dyDescent="0.3">
      <c r="A133" s="1">
        <v>128</v>
      </c>
      <c r="B133" s="1">
        <f t="shared" ref="B133:B164" si="21" xml:space="preserve"> (($B$2^2)*SIN(RADIANS(A133))*COS(RADIANS(A133)) + ($B$2*COS(RADIANS(A133)) * SQRT($B$2^2 * (SIN(RADIANS(A133)))^2+2*$D$2*$A$2)))/($D$2)</f>
        <v>-4014.3456508703921</v>
      </c>
      <c r="L133">
        <f t="shared" si="19"/>
        <v>1791.7785289200197</v>
      </c>
      <c r="M133">
        <f t="shared" ref="M133:M196" si="22" xml:space="preserve"> -$D$2/(2*($B$2)^2*(COS(RADIANS($C$2)))^2)*(L133)^2 + TAN(RADIANS($C$2))*L133</f>
        <v>1466.93790156714</v>
      </c>
    </row>
    <row r="134" spans="1:13" x14ac:dyDescent="0.3">
      <c r="A134" s="1">
        <v>129</v>
      </c>
      <c r="B134" s="1">
        <f t="shared" si="21"/>
        <v>-4048.3413271240802</v>
      </c>
      <c r="L134">
        <f t="shared" si="19"/>
        <v>1776.7785289200197</v>
      </c>
      <c r="M134">
        <f t="shared" si="22"/>
        <v>1466.2836198207081</v>
      </c>
    </row>
    <row r="135" spans="1:13" x14ac:dyDescent="0.3">
      <c r="A135" s="1">
        <v>130</v>
      </c>
      <c r="B135" s="1">
        <f t="shared" si="21"/>
        <v>-4077.5263619362049</v>
      </c>
      <c r="L135">
        <f t="shared" si="19"/>
        <v>1761.7785289200197</v>
      </c>
      <c r="M135">
        <f t="shared" si="22"/>
        <v>1465.4330340571844</v>
      </c>
    </row>
    <row r="136" spans="1:13" x14ac:dyDescent="0.3">
      <c r="A136" s="1">
        <v>131</v>
      </c>
      <c r="B136" s="1">
        <f t="shared" si="21"/>
        <v>-4101.8710585229028</v>
      </c>
      <c r="L136">
        <f t="shared" si="19"/>
        <v>1746.7785289200197</v>
      </c>
      <c r="M136">
        <f t="shared" si="22"/>
        <v>1464.3861442765688</v>
      </c>
    </row>
    <row r="137" spans="1:13" x14ac:dyDescent="0.3">
      <c r="A137" s="1">
        <v>132</v>
      </c>
      <c r="B137" s="1">
        <f t="shared" si="21"/>
        <v>-4121.3519460013658</v>
      </c>
      <c r="L137">
        <f t="shared" si="19"/>
        <v>1731.7785289200197</v>
      </c>
      <c r="M137">
        <f t="shared" si="22"/>
        <v>1463.1429504788612</v>
      </c>
    </row>
    <row r="138" spans="1:13" x14ac:dyDescent="0.3">
      <c r="A138" s="1">
        <v>133</v>
      </c>
      <c r="B138" s="1">
        <f t="shared" si="21"/>
        <v>-4135.9518384860185</v>
      </c>
      <c r="L138">
        <f t="shared" si="19"/>
        <v>1716.7785289200197</v>
      </c>
      <c r="M138">
        <f t="shared" si="22"/>
        <v>1461.7034526640618</v>
      </c>
    </row>
    <row r="139" spans="1:13" x14ac:dyDescent="0.3">
      <c r="A139" s="1">
        <v>134</v>
      </c>
      <c r="B139" s="1">
        <f t="shared" si="21"/>
        <v>-4145.6598899679148</v>
      </c>
      <c r="L139">
        <f t="shared" si="19"/>
        <v>1701.7785289200197</v>
      </c>
      <c r="M139">
        <f t="shared" si="22"/>
        <v>1460.0676508321708</v>
      </c>
    </row>
    <row r="140" spans="1:13" x14ac:dyDescent="0.3">
      <c r="A140" s="1">
        <v>135</v>
      </c>
      <c r="B140" s="1">
        <f t="shared" si="21"/>
        <v>-4150.4716453796864</v>
      </c>
      <c r="L140">
        <f t="shared" si="19"/>
        <v>1686.7785289200197</v>
      </c>
      <c r="M140">
        <f t="shared" si="22"/>
        <v>1458.2355449831878</v>
      </c>
    </row>
    <row r="141" spans="1:13" x14ac:dyDescent="0.3">
      <c r="A141" s="1">
        <v>136</v>
      </c>
      <c r="B141" s="1">
        <f t="shared" si="21"/>
        <v>-4150.3890883268923</v>
      </c>
      <c r="L141">
        <f t="shared" si="19"/>
        <v>1671.7785289200197</v>
      </c>
      <c r="M141">
        <f t="shared" si="22"/>
        <v>1456.2071351171128</v>
      </c>
    </row>
    <row r="142" spans="1:13" x14ac:dyDescent="0.3">
      <c r="A142" s="1">
        <v>137</v>
      </c>
      <c r="B142" s="1">
        <f t="shared" si="21"/>
        <v>-4145.4206860575741</v>
      </c>
      <c r="L142">
        <f t="shared" si="19"/>
        <v>1656.7785289200197</v>
      </c>
      <c r="M142">
        <f t="shared" si="22"/>
        <v>1453.9824212339465</v>
      </c>
    </row>
    <row r="143" spans="1:13" x14ac:dyDescent="0.3">
      <c r="A143" s="1">
        <v>138</v>
      </c>
      <c r="B143" s="1">
        <f t="shared" si="21"/>
        <v>-4135.5814323478362</v>
      </c>
      <c r="L143">
        <f t="shared" ref="L143:L206" si="23" xml:space="preserve"> L142 - 15</f>
        <v>1641.7785289200197</v>
      </c>
      <c r="M143">
        <f t="shared" si="22"/>
        <v>1451.5614033336878</v>
      </c>
    </row>
    <row r="144" spans="1:13" x14ac:dyDescent="0.3">
      <c r="A144" s="1">
        <v>139</v>
      </c>
      <c r="B144" s="1">
        <f t="shared" si="21"/>
        <v>-4120.8928891054129</v>
      </c>
      <c r="L144">
        <f t="shared" si="23"/>
        <v>1626.7785289200197</v>
      </c>
      <c r="M144">
        <f t="shared" si="22"/>
        <v>1448.9440814163372</v>
      </c>
    </row>
    <row r="145" spans="1:13" x14ac:dyDescent="0.3">
      <c r="A145" s="1">
        <v>140</v>
      </c>
      <c r="B145" s="1">
        <f t="shared" si="21"/>
        <v>-4101.3832276389739</v>
      </c>
      <c r="L145">
        <f t="shared" si="23"/>
        <v>1611.7785289200197</v>
      </c>
      <c r="M145">
        <f t="shared" si="22"/>
        <v>1446.1304554818948</v>
      </c>
    </row>
    <row r="146" spans="1:13" x14ac:dyDescent="0.3">
      <c r="A146" s="1">
        <v>141</v>
      </c>
      <c r="B146" s="1">
        <f t="shared" si="21"/>
        <v>-4077.0872707130575</v>
      </c>
      <c r="L146">
        <f t="shared" si="23"/>
        <v>1596.7785289200197</v>
      </c>
      <c r="M146">
        <f t="shared" si="22"/>
        <v>1443.1205255303607</v>
      </c>
    </row>
    <row r="147" spans="1:13" x14ac:dyDescent="0.3">
      <c r="A147" s="1">
        <v>142</v>
      </c>
      <c r="B147" s="1">
        <f t="shared" si="21"/>
        <v>-4048.0465367124002</v>
      </c>
      <c r="L147">
        <f t="shared" si="23"/>
        <v>1581.7785289200197</v>
      </c>
      <c r="M147">
        <f t="shared" si="22"/>
        <v>1439.9142915617344</v>
      </c>
    </row>
    <row r="148" spans="1:13" x14ac:dyDescent="0.3">
      <c r="A148" s="1">
        <v>143</v>
      </c>
      <c r="B148" s="1">
        <f t="shared" si="21"/>
        <v>-4014.3092874818426</v>
      </c>
      <c r="L148">
        <f t="shared" si="23"/>
        <v>1566.7785289200197</v>
      </c>
      <c r="M148">
        <f t="shared" si="22"/>
        <v>1436.5117535760166</v>
      </c>
    </row>
    <row r="149" spans="1:13" x14ac:dyDescent="0.3">
      <c r="A149" s="1">
        <v>144</v>
      </c>
      <c r="B149" s="1">
        <f t="shared" si="21"/>
        <v>-3975.9305816973651</v>
      </c>
      <c r="L149">
        <f t="shared" si="23"/>
        <v>1551.7785289200197</v>
      </c>
      <c r="M149">
        <f t="shared" si="22"/>
        <v>1432.9129115732069</v>
      </c>
    </row>
    <row r="150" spans="1:13" x14ac:dyDescent="0.3">
      <c r="A150" s="1">
        <v>145</v>
      </c>
      <c r="B150" s="1">
        <f t="shared" si="21"/>
        <v>-3932.9723359701202</v>
      </c>
      <c r="L150">
        <f t="shared" si="23"/>
        <v>1536.7785289200197</v>
      </c>
      <c r="M150">
        <f t="shared" si="22"/>
        <v>1429.1177655533052</v>
      </c>
    </row>
    <row r="151" spans="1:13" x14ac:dyDescent="0.3">
      <c r="A151" s="1">
        <v>146</v>
      </c>
      <c r="B151" s="1">
        <f t="shared" si="21"/>
        <v>-3885.503396301513</v>
      </c>
      <c r="L151">
        <f t="shared" si="23"/>
        <v>1521.7785289200197</v>
      </c>
      <c r="M151">
        <f t="shared" si="22"/>
        <v>1425.1263155163115</v>
      </c>
    </row>
    <row r="152" spans="1:13" x14ac:dyDescent="0.3">
      <c r="A152" s="1">
        <v>147</v>
      </c>
      <c r="B152" s="1">
        <f t="shared" si="21"/>
        <v>-3833.5996230085366</v>
      </c>
      <c r="L152">
        <f t="shared" si="23"/>
        <v>1506.7785289200197</v>
      </c>
      <c r="M152">
        <f t="shared" si="22"/>
        <v>1420.9385614622261</v>
      </c>
    </row>
    <row r="153" spans="1:13" x14ac:dyDescent="0.3">
      <c r="A153" s="1">
        <v>148</v>
      </c>
      <c r="B153" s="1">
        <f t="shared" si="21"/>
        <v>-3777.3439928440584</v>
      </c>
      <c r="L153">
        <f t="shared" si="23"/>
        <v>1491.7785289200197</v>
      </c>
      <c r="M153">
        <f t="shared" si="22"/>
        <v>1416.5545033910489</v>
      </c>
    </row>
    <row r="154" spans="1:13" x14ac:dyDescent="0.3">
      <c r="A154" s="1">
        <v>149</v>
      </c>
      <c r="B154" s="1">
        <f t="shared" si="21"/>
        <v>-3716.8267227696906</v>
      </c>
      <c r="L154">
        <f t="shared" si="23"/>
        <v>1476.7785289200197</v>
      </c>
      <c r="M154">
        <f t="shared" si="22"/>
        <v>1411.9741413027796</v>
      </c>
    </row>
    <row r="155" spans="1:13" x14ac:dyDescent="0.3">
      <c r="A155" s="1">
        <v>150</v>
      </c>
      <c r="B155" s="1">
        <f t="shared" si="21"/>
        <v>-3652.1454207280563</v>
      </c>
      <c r="L155">
        <f t="shared" si="23"/>
        <v>1461.7785289200197</v>
      </c>
      <c r="M155">
        <f t="shared" si="22"/>
        <v>1407.1974751974192</v>
      </c>
    </row>
    <row r="156" spans="1:13" x14ac:dyDescent="0.3">
      <c r="A156" s="1">
        <v>151</v>
      </c>
      <c r="B156" s="1">
        <f t="shared" si="21"/>
        <v>-3583.405269841493</v>
      </c>
      <c r="L156">
        <f t="shared" si="23"/>
        <v>1446.7785289200197</v>
      </c>
      <c r="M156">
        <f t="shared" si="22"/>
        <v>1402.2245050749664</v>
      </c>
    </row>
    <row r="157" spans="1:13" x14ac:dyDescent="0.3">
      <c r="A157" s="1">
        <v>152</v>
      </c>
      <c r="B157" s="1">
        <f t="shared" si="21"/>
        <v>-3510.7192537776195</v>
      </c>
      <c r="L157">
        <f t="shared" si="23"/>
        <v>1431.7785289200197</v>
      </c>
      <c r="M157">
        <f t="shared" si="22"/>
        <v>1397.0552309354216</v>
      </c>
    </row>
    <row r="158" spans="1:13" x14ac:dyDescent="0.3">
      <c r="A158" s="1">
        <v>153</v>
      </c>
      <c r="B158" s="1">
        <f t="shared" si="21"/>
        <v>-3434.2084326195613</v>
      </c>
      <c r="L158">
        <f t="shared" si="23"/>
        <v>1416.7785289200197</v>
      </c>
      <c r="M158">
        <f t="shared" si="22"/>
        <v>1391.6896527787849</v>
      </c>
    </row>
    <row r="159" spans="1:13" x14ac:dyDescent="0.3">
      <c r="A159" s="1">
        <v>154</v>
      </c>
      <c r="B159" s="1">
        <f t="shared" si="21"/>
        <v>-3354.002280519242</v>
      </c>
      <c r="L159">
        <f t="shared" si="23"/>
        <v>1401.7785289200197</v>
      </c>
      <c r="M159">
        <f t="shared" si="22"/>
        <v>1386.1277706050566</v>
      </c>
    </row>
    <row r="160" spans="1:13" x14ac:dyDescent="0.3">
      <c r="A160" s="1">
        <v>155</v>
      </c>
      <c r="B160" s="1">
        <f t="shared" si="21"/>
        <v>-3270.2390987650328</v>
      </c>
      <c r="L160">
        <f t="shared" si="23"/>
        <v>1386.7785289200197</v>
      </c>
      <c r="M160">
        <f t="shared" si="22"/>
        <v>1380.3695844142362</v>
      </c>
    </row>
    <row r="161" spans="1:13" x14ac:dyDescent="0.3">
      <c r="A161" s="1">
        <v>156</v>
      </c>
      <c r="B161" s="1">
        <f t="shared" si="21"/>
        <v>-3183.0665207359602</v>
      </c>
      <c r="L161">
        <f t="shared" si="23"/>
        <v>1371.7785289200197</v>
      </c>
      <c r="M161">
        <f t="shared" si="22"/>
        <v>1374.4150942063243</v>
      </c>
    </row>
    <row r="162" spans="1:13" x14ac:dyDescent="0.3">
      <c r="A162" s="1">
        <v>157</v>
      </c>
      <c r="B162" s="1">
        <f t="shared" si="21"/>
        <v>-3092.6421286228979</v>
      </c>
      <c r="L162">
        <f t="shared" si="23"/>
        <v>1356.7785289200197</v>
      </c>
      <c r="M162">
        <f t="shared" si="22"/>
        <v>1368.2642999813202</v>
      </c>
    </row>
    <row r="163" spans="1:13" x14ac:dyDescent="0.3">
      <c r="A163" s="1">
        <v>158</v>
      </c>
      <c r="B163" s="1">
        <f t="shared" si="21"/>
        <v>-2999.1342058447426</v>
      </c>
      <c r="L163">
        <f t="shared" si="23"/>
        <v>1341.7785289200197</v>
      </c>
      <c r="M163">
        <f t="shared" si="22"/>
        <v>1361.9172017392243</v>
      </c>
    </row>
    <row r="164" spans="1:13" x14ac:dyDescent="0.3">
      <c r="A164" s="1">
        <v>159</v>
      </c>
      <c r="B164" s="1">
        <f t="shared" si="21"/>
        <v>-2902.7226538208379</v>
      </c>
      <c r="L164">
        <f t="shared" si="23"/>
        <v>1326.7785289200197</v>
      </c>
      <c r="M164">
        <f t="shared" si="22"/>
        <v>1355.3737994800365</v>
      </c>
    </row>
    <row r="165" spans="1:13" x14ac:dyDescent="0.3">
      <c r="A165" s="1">
        <v>160</v>
      </c>
      <c r="B165" s="1">
        <f t="shared" ref="B165:B185" si="24" xml:space="preserve"> (($B$2^2)*SIN(RADIANS(A165))*COS(RADIANS(A165)) + ($B$2*COS(RADIANS(A165)) * SQRT($B$2^2 * (SIN(RADIANS(A165)))^2+2*$D$2*$A$2)))/($D$2)</f>
        <v>-2803.6001071655783</v>
      </c>
      <c r="L165">
        <f t="shared" si="23"/>
        <v>1311.7785289200197</v>
      </c>
      <c r="M165">
        <f t="shared" si="22"/>
        <v>1348.6340932037569</v>
      </c>
    </row>
    <row r="166" spans="1:13" x14ac:dyDescent="0.3">
      <c r="A166" s="1">
        <v>161</v>
      </c>
      <c r="B166" s="1">
        <f t="shared" si="24"/>
        <v>-2701.9732873110529</v>
      </c>
      <c r="L166">
        <f t="shared" si="23"/>
        <v>1296.7785289200197</v>
      </c>
      <c r="M166">
        <f t="shared" si="22"/>
        <v>1341.6980829103854</v>
      </c>
    </row>
    <row r="167" spans="1:13" x14ac:dyDescent="0.3">
      <c r="A167" s="1">
        <v>162</v>
      </c>
      <c r="B167" s="1">
        <f t="shared" si="24"/>
        <v>-2598.06464067756</v>
      </c>
      <c r="L167">
        <f t="shared" si="23"/>
        <v>1281.7785289200197</v>
      </c>
      <c r="M167">
        <f t="shared" si="22"/>
        <v>1334.5657685999226</v>
      </c>
    </row>
    <row r="168" spans="1:13" x14ac:dyDescent="0.3">
      <c r="A168" s="1">
        <v>163</v>
      </c>
      <c r="B168" s="1">
        <f t="shared" si="24"/>
        <v>-2492.1143130404257</v>
      </c>
      <c r="L168">
        <f t="shared" si="23"/>
        <v>1266.7785289200197</v>
      </c>
      <c r="M168">
        <f t="shared" si="22"/>
        <v>1327.2371502723672</v>
      </c>
    </row>
    <row r="169" spans="1:13" x14ac:dyDescent="0.3">
      <c r="A169" s="1">
        <v>164</v>
      </c>
      <c r="B169" s="1">
        <f t="shared" si="24"/>
        <v>-2384.3825152506565</v>
      </c>
      <c r="L169">
        <f t="shared" si="23"/>
        <v>1251.7785289200197</v>
      </c>
      <c r="M169">
        <f t="shared" si="22"/>
        <v>1319.7122279277201</v>
      </c>
    </row>
    <row r="170" spans="1:13" x14ac:dyDescent="0.3">
      <c r="A170" s="1">
        <v>165</v>
      </c>
      <c r="B170" s="1">
        <f t="shared" si="24"/>
        <v>-2275.1523344115449</v>
      </c>
      <c r="L170">
        <f t="shared" si="23"/>
        <v>1236.7785289200197</v>
      </c>
      <c r="M170">
        <f t="shared" si="22"/>
        <v>1311.9910015659812</v>
      </c>
    </row>
    <row r="171" spans="1:13" x14ac:dyDescent="0.3">
      <c r="A171" s="1">
        <v>166</v>
      </c>
      <c r="B171" s="1">
        <f t="shared" si="24"/>
        <v>-2164.7330346868371</v>
      </c>
      <c r="L171">
        <f t="shared" si="23"/>
        <v>1221.7785289200197</v>
      </c>
      <c r="M171">
        <f t="shared" si="22"/>
        <v>1304.0734711871505</v>
      </c>
    </row>
    <row r="172" spans="1:13" x14ac:dyDescent="0.3">
      <c r="A172" s="1">
        <v>167</v>
      </c>
      <c r="B172" s="1">
        <f t="shared" si="24"/>
        <v>-2053.4638661271806</v>
      </c>
      <c r="L172">
        <f t="shared" si="23"/>
        <v>1206.7785289200197</v>
      </c>
      <c r="M172">
        <f t="shared" si="22"/>
        <v>1295.9596367912277</v>
      </c>
    </row>
    <row r="173" spans="1:13" x14ac:dyDescent="0.3">
      <c r="A173" s="1">
        <v>168</v>
      </c>
      <c r="B173" s="1">
        <f t="shared" si="24"/>
        <v>-1941.7183474015617</v>
      </c>
      <c r="L173">
        <f t="shared" si="23"/>
        <v>1191.7785289200197</v>
      </c>
      <c r="M173">
        <f t="shared" si="22"/>
        <v>1287.6494983782131</v>
      </c>
    </row>
    <row r="174" spans="1:13" x14ac:dyDescent="0.3">
      <c r="A174" s="1">
        <v>169</v>
      </c>
      <c r="B174" s="1">
        <f t="shared" si="24"/>
        <v>-1829.9088931937927</v>
      </c>
      <c r="L174">
        <f t="shared" si="23"/>
        <v>1176.7785289200197</v>
      </c>
      <c r="M174">
        <f t="shared" si="22"/>
        <v>1279.1430559481068</v>
      </c>
    </row>
    <row r="175" spans="1:13" x14ac:dyDescent="0.3">
      <c r="A175" s="1">
        <v>170</v>
      </c>
      <c r="B175" s="1">
        <f t="shared" si="24"/>
        <v>-1718.4914977476942</v>
      </c>
      <c r="L175">
        <f t="shared" si="23"/>
        <v>1161.7785289200197</v>
      </c>
      <c r="M175">
        <f t="shared" si="22"/>
        <v>1270.4403095009086</v>
      </c>
    </row>
    <row r="176" spans="1:13" x14ac:dyDescent="0.3">
      <c r="A176" s="1">
        <v>171</v>
      </c>
      <c r="B176" s="1">
        <f t="shared" si="24"/>
        <v>-1607.9699372823361</v>
      </c>
      <c r="L176">
        <f t="shared" si="23"/>
        <v>1146.7785289200197</v>
      </c>
      <c r="M176">
        <f t="shared" si="22"/>
        <v>1261.5412590366188</v>
      </c>
    </row>
    <row r="177" spans="1:13" x14ac:dyDescent="0.3">
      <c r="A177" s="1">
        <v>172</v>
      </c>
      <c r="B177" s="1">
        <f t="shared" si="24"/>
        <v>-1498.8985940116415</v>
      </c>
      <c r="L177">
        <f t="shared" si="23"/>
        <v>1131.7785289200197</v>
      </c>
      <c r="M177">
        <f t="shared" si="22"/>
        <v>1252.4459045552367</v>
      </c>
    </row>
    <row r="178" spans="1:13" x14ac:dyDescent="0.3">
      <c r="A178" s="1">
        <v>173</v>
      </c>
      <c r="B178" s="1">
        <f t="shared" si="24"/>
        <v>-1391.8825334214387</v>
      </c>
      <c r="L178">
        <f t="shared" si="23"/>
        <v>1116.7785289200197</v>
      </c>
      <c r="M178">
        <f t="shared" si="22"/>
        <v>1243.154246056763</v>
      </c>
    </row>
    <row r="179" spans="1:13" x14ac:dyDescent="0.3">
      <c r="A179" s="1">
        <v>174</v>
      </c>
      <c r="B179" s="1">
        <f t="shared" si="24"/>
        <v>-1287.5729411394841</v>
      </c>
      <c r="L179">
        <f t="shared" si="23"/>
        <v>1101.7785289200197</v>
      </c>
      <c r="M179">
        <f t="shared" si="22"/>
        <v>1233.6662835411971</v>
      </c>
    </row>
    <row r="180" spans="1:13" x14ac:dyDescent="0.3">
      <c r="A180" s="1">
        <v>175</v>
      </c>
      <c r="B180" s="1">
        <f t="shared" si="24"/>
        <v>-1186.6556109886847</v>
      </c>
      <c r="L180">
        <f t="shared" si="23"/>
        <v>1086.7785289200197</v>
      </c>
      <c r="M180">
        <f t="shared" si="22"/>
        <v>1223.9820170085397</v>
      </c>
    </row>
    <row r="181" spans="1:13" x14ac:dyDescent="0.3">
      <c r="A181" s="1">
        <v>176</v>
      </c>
      <c r="B181" s="1">
        <f t="shared" si="24"/>
        <v>-1089.8301908368521</v>
      </c>
      <c r="L181">
        <f t="shared" si="23"/>
        <v>1071.7785289200197</v>
      </c>
      <c r="M181">
        <f t="shared" si="22"/>
        <v>1214.1014464587904</v>
      </c>
    </row>
    <row r="182" spans="1:13" x14ac:dyDescent="0.3">
      <c r="A182" s="1">
        <v>177</v>
      </c>
      <c r="B182" s="1">
        <f t="shared" si="24"/>
        <v>-997.77879104307669</v>
      </c>
      <c r="L182">
        <f t="shared" si="23"/>
        <v>1056.7785289200197</v>
      </c>
      <c r="M182">
        <f t="shared" si="22"/>
        <v>1204.0245718919491</v>
      </c>
    </row>
    <row r="183" spans="1:13" x14ac:dyDescent="0.3">
      <c r="A183" s="1">
        <v>178</v>
      </c>
      <c r="B183" s="1">
        <f t="shared" si="24"/>
        <v>-911.1247427098989</v>
      </c>
      <c r="L183">
        <f t="shared" si="23"/>
        <v>1041.7785289200197</v>
      </c>
      <c r="M183">
        <f t="shared" si="22"/>
        <v>1193.7513933080161</v>
      </c>
    </row>
    <row r="184" spans="1:13" x14ac:dyDescent="0.3">
      <c r="A184" s="1">
        <v>179</v>
      </c>
      <c r="B184" s="1">
        <f t="shared" si="24"/>
        <v>-830.38570068010119</v>
      </c>
      <c r="L184">
        <f t="shared" si="23"/>
        <v>1026.7785289200197</v>
      </c>
      <c r="M184">
        <f t="shared" si="22"/>
        <v>1183.2819107069911</v>
      </c>
    </row>
    <row r="185" spans="1:13" x14ac:dyDescent="0.3">
      <c r="A185" s="1">
        <v>180</v>
      </c>
      <c r="B185" s="1">
        <f t="shared" si="24"/>
        <v>-755.92894601845489</v>
      </c>
      <c r="L185">
        <f t="shared" si="23"/>
        <v>1011.7785289200197</v>
      </c>
      <c r="M185">
        <f t="shared" si="22"/>
        <v>1172.6161240888741</v>
      </c>
    </row>
    <row r="186" spans="1:13" x14ac:dyDescent="0.3">
      <c r="L186">
        <f t="shared" si="23"/>
        <v>996.77852892001965</v>
      </c>
      <c r="M186">
        <f t="shared" si="22"/>
        <v>1161.7540334536654</v>
      </c>
    </row>
    <row r="187" spans="1:13" x14ac:dyDescent="0.3">
      <c r="L187">
        <f t="shared" si="23"/>
        <v>981.77852892001965</v>
      </c>
      <c r="M187">
        <f t="shared" si="22"/>
        <v>1150.695638801365</v>
      </c>
    </row>
    <row r="188" spans="1:13" x14ac:dyDescent="0.3">
      <c r="L188">
        <f t="shared" si="23"/>
        <v>966.77852892001965</v>
      </c>
      <c r="M188">
        <f t="shared" si="22"/>
        <v>1139.4409401319724</v>
      </c>
    </row>
    <row r="189" spans="1:13" x14ac:dyDescent="0.3">
      <c r="L189">
        <f t="shared" si="23"/>
        <v>951.77852892001965</v>
      </c>
      <c r="M189">
        <f t="shared" si="22"/>
        <v>1127.9899374454885</v>
      </c>
    </row>
    <row r="190" spans="1:13" x14ac:dyDescent="0.3">
      <c r="L190">
        <f t="shared" si="23"/>
        <v>936.77852892001965</v>
      </c>
      <c r="M190">
        <f t="shared" si="22"/>
        <v>1116.3426307419122</v>
      </c>
    </row>
    <row r="191" spans="1:13" x14ac:dyDescent="0.3">
      <c r="L191">
        <f t="shared" si="23"/>
        <v>921.77852892001965</v>
      </c>
      <c r="M191">
        <f t="shared" si="22"/>
        <v>1104.4990200212442</v>
      </c>
    </row>
    <row r="192" spans="1:13" x14ac:dyDescent="0.3">
      <c r="L192">
        <f t="shared" si="23"/>
        <v>906.77852892001965</v>
      </c>
      <c r="M192">
        <f t="shared" si="22"/>
        <v>1092.4591052834842</v>
      </c>
    </row>
    <row r="193" spans="12:13" x14ac:dyDescent="0.3">
      <c r="L193">
        <f t="shared" si="23"/>
        <v>891.77852892001965</v>
      </c>
      <c r="M193">
        <f t="shared" si="22"/>
        <v>1080.2228865286324</v>
      </c>
    </row>
    <row r="194" spans="12:13" x14ac:dyDescent="0.3">
      <c r="L194">
        <f t="shared" si="23"/>
        <v>876.77852892001965</v>
      </c>
      <c r="M194">
        <f t="shared" si="22"/>
        <v>1067.7903637566887</v>
      </c>
    </row>
    <row r="195" spans="12:13" x14ac:dyDescent="0.3">
      <c r="L195">
        <f t="shared" si="23"/>
        <v>861.77852892001965</v>
      </c>
      <c r="M195">
        <f t="shared" si="22"/>
        <v>1055.1615369676535</v>
      </c>
    </row>
    <row r="196" spans="12:13" x14ac:dyDescent="0.3">
      <c r="L196">
        <f t="shared" si="23"/>
        <v>846.77852892001965</v>
      </c>
      <c r="M196">
        <f t="shared" si="22"/>
        <v>1042.3364061615262</v>
      </c>
    </row>
    <row r="197" spans="12:13" x14ac:dyDescent="0.3">
      <c r="L197">
        <f t="shared" si="23"/>
        <v>831.77852892001965</v>
      </c>
      <c r="M197">
        <f t="shared" ref="M197:M248" si="25" xml:space="preserve"> -$D$2/(2*($B$2)^2*(COS(RADIANS($C$2)))^2)*(L197)^2 + TAN(RADIANS($C$2))*L197</f>
        <v>1029.314971338307</v>
      </c>
    </row>
    <row r="198" spans="12:13" x14ac:dyDescent="0.3">
      <c r="L198">
        <f t="shared" si="23"/>
        <v>816.77852892001965</v>
      </c>
      <c r="M198">
        <f t="shared" si="25"/>
        <v>1016.0972324979959</v>
      </c>
    </row>
    <row r="199" spans="12:13" x14ac:dyDescent="0.3">
      <c r="L199">
        <f t="shared" si="23"/>
        <v>801.77852892001965</v>
      </c>
      <c r="M199">
        <f t="shared" si="25"/>
        <v>1002.6831896405929</v>
      </c>
    </row>
    <row r="200" spans="12:13" x14ac:dyDescent="0.3">
      <c r="L200">
        <f t="shared" si="23"/>
        <v>786.77852892001965</v>
      </c>
      <c r="M200">
        <f t="shared" si="25"/>
        <v>989.07284276609812</v>
      </c>
    </row>
    <row r="201" spans="12:13" x14ac:dyDescent="0.3">
      <c r="L201">
        <f t="shared" si="23"/>
        <v>771.77852892001965</v>
      </c>
      <c r="M201">
        <f t="shared" si="25"/>
        <v>975.26619187451172</v>
      </c>
    </row>
    <row r="202" spans="12:13" x14ac:dyDescent="0.3">
      <c r="L202">
        <f t="shared" si="23"/>
        <v>756.77852892001965</v>
      </c>
      <c r="M202">
        <f t="shared" si="25"/>
        <v>961.26323696583324</v>
      </c>
    </row>
    <row r="203" spans="12:13" x14ac:dyDescent="0.3">
      <c r="L203">
        <f t="shared" si="23"/>
        <v>741.77852892001965</v>
      </c>
      <c r="M203">
        <f t="shared" si="25"/>
        <v>947.06397804006281</v>
      </c>
    </row>
    <row r="204" spans="12:13" x14ac:dyDescent="0.3">
      <c r="L204">
        <f t="shared" si="23"/>
        <v>726.77852892001965</v>
      </c>
      <c r="M204">
        <f t="shared" si="25"/>
        <v>932.66841509720052</v>
      </c>
    </row>
    <row r="205" spans="12:13" x14ac:dyDescent="0.3">
      <c r="L205">
        <f t="shared" si="23"/>
        <v>711.77852892001965</v>
      </c>
      <c r="M205">
        <f t="shared" si="25"/>
        <v>918.07654813724639</v>
      </c>
    </row>
    <row r="206" spans="12:13" x14ac:dyDescent="0.3">
      <c r="L206">
        <f t="shared" si="23"/>
        <v>696.77852892001965</v>
      </c>
      <c r="M206">
        <f t="shared" si="25"/>
        <v>903.28837716020053</v>
      </c>
    </row>
    <row r="207" spans="12:13" x14ac:dyDescent="0.3">
      <c r="L207">
        <f t="shared" ref="L207:L247" si="26" xml:space="preserve"> L206 - 15</f>
        <v>681.77852892001965</v>
      </c>
      <c r="M207">
        <f t="shared" si="25"/>
        <v>888.30390216606281</v>
      </c>
    </row>
    <row r="208" spans="12:13" x14ac:dyDescent="0.3">
      <c r="L208">
        <f t="shared" si="26"/>
        <v>666.77852892001965</v>
      </c>
      <c r="M208">
        <f t="shared" si="25"/>
        <v>873.12312315483314</v>
      </c>
    </row>
    <row r="209" spans="12:13" x14ac:dyDescent="0.3">
      <c r="L209">
        <f t="shared" si="26"/>
        <v>651.77852892001965</v>
      </c>
      <c r="M209">
        <f t="shared" si="25"/>
        <v>857.74604012651162</v>
      </c>
    </row>
    <row r="210" spans="12:13" x14ac:dyDescent="0.3">
      <c r="L210">
        <f t="shared" si="26"/>
        <v>636.77852892001965</v>
      </c>
      <c r="M210">
        <f t="shared" si="25"/>
        <v>842.17265308109813</v>
      </c>
    </row>
    <row r="211" spans="12:13" x14ac:dyDescent="0.3">
      <c r="L211">
        <f t="shared" si="26"/>
        <v>621.77852892001965</v>
      </c>
      <c r="M211">
        <f t="shared" si="25"/>
        <v>826.40296201859292</v>
      </c>
    </row>
    <row r="212" spans="12:13" x14ac:dyDescent="0.3">
      <c r="L212">
        <f t="shared" si="26"/>
        <v>606.77852892001965</v>
      </c>
      <c r="M212">
        <f t="shared" si="25"/>
        <v>810.43696693899585</v>
      </c>
    </row>
    <row r="213" spans="12:13" x14ac:dyDescent="0.3">
      <c r="L213">
        <f t="shared" si="26"/>
        <v>591.77852892001965</v>
      </c>
      <c r="M213">
        <f t="shared" si="25"/>
        <v>794.27466784230683</v>
      </c>
    </row>
    <row r="214" spans="12:13" x14ac:dyDescent="0.3">
      <c r="L214">
        <f t="shared" si="26"/>
        <v>576.77852892001965</v>
      </c>
      <c r="M214">
        <f t="shared" si="25"/>
        <v>777.91606472852595</v>
      </c>
    </row>
    <row r="215" spans="12:13" x14ac:dyDescent="0.3">
      <c r="L215">
        <f t="shared" si="26"/>
        <v>561.77852892001965</v>
      </c>
      <c r="M215">
        <f t="shared" si="25"/>
        <v>761.36115759765335</v>
      </c>
    </row>
    <row r="216" spans="12:13" x14ac:dyDescent="0.3">
      <c r="L216">
        <f t="shared" si="26"/>
        <v>546.77852892001965</v>
      </c>
      <c r="M216">
        <f t="shared" si="25"/>
        <v>744.60994644968878</v>
      </c>
    </row>
    <row r="217" spans="12:13" x14ac:dyDescent="0.3">
      <c r="L217">
        <f t="shared" si="26"/>
        <v>531.77852892001965</v>
      </c>
      <c r="M217">
        <f t="shared" si="25"/>
        <v>727.66243128463225</v>
      </c>
    </row>
    <row r="218" spans="12:13" x14ac:dyDescent="0.3">
      <c r="L218">
        <f t="shared" si="26"/>
        <v>516.77852892001965</v>
      </c>
      <c r="M218">
        <f t="shared" si="25"/>
        <v>710.51861210248398</v>
      </c>
    </row>
    <row r="219" spans="12:13" x14ac:dyDescent="0.3">
      <c r="L219">
        <f t="shared" si="26"/>
        <v>501.77852892001965</v>
      </c>
      <c r="M219">
        <f t="shared" si="25"/>
        <v>693.17848890324387</v>
      </c>
    </row>
    <row r="220" spans="12:13" x14ac:dyDescent="0.3">
      <c r="L220">
        <f t="shared" si="26"/>
        <v>486.77852892001965</v>
      </c>
      <c r="M220">
        <f t="shared" si="25"/>
        <v>675.6420616869118</v>
      </c>
    </row>
    <row r="221" spans="12:13" x14ac:dyDescent="0.3">
      <c r="L221">
        <f t="shared" si="26"/>
        <v>471.77852892001965</v>
      </c>
      <c r="M221">
        <f t="shared" si="25"/>
        <v>657.909330453488</v>
      </c>
    </row>
    <row r="222" spans="12:13" x14ac:dyDescent="0.3">
      <c r="L222">
        <f t="shared" si="26"/>
        <v>456.77852892001965</v>
      </c>
      <c r="M222">
        <f t="shared" si="25"/>
        <v>639.98029520297223</v>
      </c>
    </row>
    <row r="223" spans="12:13" x14ac:dyDescent="0.3">
      <c r="L223">
        <f t="shared" si="26"/>
        <v>441.77852892001965</v>
      </c>
      <c r="M223">
        <f t="shared" si="25"/>
        <v>621.85495593536461</v>
      </c>
    </row>
    <row r="224" spans="12:13" x14ac:dyDescent="0.3">
      <c r="L224">
        <f t="shared" si="26"/>
        <v>426.77852892001965</v>
      </c>
      <c r="M224">
        <f t="shared" si="25"/>
        <v>603.53331265066515</v>
      </c>
    </row>
    <row r="225" spans="12:13" x14ac:dyDescent="0.3">
      <c r="L225">
        <f t="shared" si="26"/>
        <v>411.77852892001965</v>
      </c>
      <c r="M225">
        <f t="shared" si="25"/>
        <v>585.01536534887384</v>
      </c>
    </row>
    <row r="226" spans="12:13" x14ac:dyDescent="0.3">
      <c r="L226">
        <f t="shared" si="26"/>
        <v>396.77852892001965</v>
      </c>
      <c r="M226">
        <f t="shared" si="25"/>
        <v>566.30111402999057</v>
      </c>
    </row>
    <row r="227" spans="12:13" x14ac:dyDescent="0.3">
      <c r="L227">
        <f t="shared" si="26"/>
        <v>381.77852892001965</v>
      </c>
      <c r="M227">
        <f t="shared" si="25"/>
        <v>547.39055869401557</v>
      </c>
    </row>
    <row r="228" spans="12:13" x14ac:dyDescent="0.3">
      <c r="L228">
        <f t="shared" si="26"/>
        <v>366.77852892001965</v>
      </c>
      <c r="M228">
        <f t="shared" si="25"/>
        <v>528.2836993409486</v>
      </c>
    </row>
    <row r="229" spans="12:13" x14ac:dyDescent="0.3">
      <c r="L229">
        <f t="shared" si="26"/>
        <v>351.77852892001965</v>
      </c>
      <c r="M229">
        <f t="shared" si="25"/>
        <v>508.98053597078984</v>
      </c>
    </row>
    <row r="230" spans="12:13" x14ac:dyDescent="0.3">
      <c r="L230">
        <f t="shared" si="26"/>
        <v>336.77852892001965</v>
      </c>
      <c r="M230">
        <f t="shared" si="25"/>
        <v>489.48106858353924</v>
      </c>
    </row>
    <row r="231" spans="12:13" x14ac:dyDescent="0.3">
      <c r="L231">
        <f t="shared" si="26"/>
        <v>321.77852892001965</v>
      </c>
      <c r="M231">
        <f t="shared" si="25"/>
        <v>469.78529717919673</v>
      </c>
    </row>
    <row r="232" spans="12:13" x14ac:dyDescent="0.3">
      <c r="L232">
        <f t="shared" si="26"/>
        <v>306.77852892001965</v>
      </c>
      <c r="M232">
        <f t="shared" si="25"/>
        <v>449.89322175776232</v>
      </c>
    </row>
    <row r="233" spans="12:13" x14ac:dyDescent="0.3">
      <c r="L233">
        <f t="shared" si="26"/>
        <v>291.77852892001965</v>
      </c>
      <c r="M233">
        <f t="shared" si="25"/>
        <v>429.80484231923612</v>
      </c>
    </row>
    <row r="234" spans="12:13" x14ac:dyDescent="0.3">
      <c r="L234">
        <f t="shared" si="26"/>
        <v>276.77852892001965</v>
      </c>
      <c r="M234">
        <f t="shared" si="25"/>
        <v>409.52015886361806</v>
      </c>
    </row>
    <row r="235" spans="12:13" x14ac:dyDescent="0.3">
      <c r="L235">
        <f t="shared" si="26"/>
        <v>261.77852892001965</v>
      </c>
      <c r="M235">
        <f t="shared" si="25"/>
        <v>389.03917139090805</v>
      </c>
    </row>
    <row r="236" spans="12:13" x14ac:dyDescent="0.3">
      <c r="L236">
        <f t="shared" si="26"/>
        <v>246.77852892001965</v>
      </c>
      <c r="M236">
        <f t="shared" si="25"/>
        <v>368.36187990110625</v>
      </c>
    </row>
    <row r="237" spans="12:13" x14ac:dyDescent="0.3">
      <c r="L237">
        <f t="shared" si="26"/>
        <v>231.77852892001965</v>
      </c>
      <c r="M237">
        <f t="shared" si="25"/>
        <v>347.4882843942126</v>
      </c>
    </row>
    <row r="238" spans="12:13" x14ac:dyDescent="0.3">
      <c r="L238">
        <f t="shared" si="26"/>
        <v>216.77852892001965</v>
      </c>
      <c r="M238">
        <f t="shared" si="25"/>
        <v>326.41838487022704</v>
      </c>
    </row>
    <row r="239" spans="12:13" x14ac:dyDescent="0.3">
      <c r="L239">
        <f t="shared" si="26"/>
        <v>201.77852892001965</v>
      </c>
      <c r="M239">
        <f t="shared" si="25"/>
        <v>305.15218132914964</v>
      </c>
    </row>
    <row r="240" spans="12:13" x14ac:dyDescent="0.3">
      <c r="L240">
        <f t="shared" si="26"/>
        <v>186.77852892001965</v>
      </c>
      <c r="M240">
        <f t="shared" si="25"/>
        <v>283.68967377098039</v>
      </c>
    </row>
    <row r="241" spans="12:13" x14ac:dyDescent="0.3">
      <c r="L241">
        <f t="shared" si="26"/>
        <v>171.77852892001965</v>
      </c>
      <c r="M241">
        <f t="shared" si="25"/>
        <v>262.03086219571924</v>
      </c>
    </row>
    <row r="242" spans="12:13" x14ac:dyDescent="0.3">
      <c r="L242">
        <f t="shared" si="26"/>
        <v>156.77852892001965</v>
      </c>
      <c r="M242">
        <f t="shared" si="25"/>
        <v>240.17574660336626</v>
      </c>
    </row>
    <row r="243" spans="12:13" x14ac:dyDescent="0.3">
      <c r="L243">
        <f t="shared" si="26"/>
        <v>141.77852892001965</v>
      </c>
      <c r="M243">
        <f t="shared" si="25"/>
        <v>218.12432699392141</v>
      </c>
    </row>
    <row r="244" spans="12:13" x14ac:dyDescent="0.3">
      <c r="L244">
        <f t="shared" si="26"/>
        <v>126.77852892001965</v>
      </c>
      <c r="M244">
        <f t="shared" si="25"/>
        <v>195.87660336738469</v>
      </c>
    </row>
    <row r="245" spans="12:13" x14ac:dyDescent="0.3">
      <c r="L245">
        <f t="shared" si="26"/>
        <v>111.77852892001965</v>
      </c>
      <c r="M245">
        <f t="shared" si="25"/>
        <v>173.43257572375612</v>
      </c>
    </row>
    <row r="246" spans="12:13" x14ac:dyDescent="0.3">
      <c r="L246">
        <f t="shared" si="26"/>
        <v>96.778528920019653</v>
      </c>
      <c r="M246">
        <f t="shared" si="25"/>
        <v>150.79224406303567</v>
      </c>
    </row>
    <row r="247" spans="12:13" x14ac:dyDescent="0.3">
      <c r="L247">
        <f t="shared" si="26"/>
        <v>81.778528920019653</v>
      </c>
      <c r="M247">
        <f t="shared" si="25"/>
        <v>127.95560838522337</v>
      </c>
    </row>
    <row r="248" spans="12:13" x14ac:dyDescent="0.3">
      <c r="L248">
        <v>0</v>
      </c>
      <c r="M248">
        <f t="shared" si="25"/>
        <v>0</v>
      </c>
    </row>
  </sheetData>
  <pageMargins left="0.7" right="0.7" top="0.75" bottom="0.75" header="0.3" footer="0.3"/>
  <pageSetup paperSize="9" orientation="portrait" r:id="rId1"/>
  <ignoredErrors>
    <ignoredError sqref="Y6:Y84 Z6:Z84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2022-09-24T12:41:49Z</dcterms:created>
  <dcterms:modified xsi:type="dcterms:W3CDTF">2022-10-21T15:08:56Z</dcterms:modified>
</cp:coreProperties>
</file>