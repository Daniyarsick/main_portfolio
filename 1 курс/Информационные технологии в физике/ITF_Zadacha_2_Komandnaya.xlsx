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nan\Downloads\"/>
    </mc:Choice>
  </mc:AlternateContent>
  <bookViews>
    <workbookView xWindow="0" yWindow="0" windowWidth="17256" windowHeight="5292"/>
  </bookViews>
  <sheets>
    <sheet name="Задача 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B8" i="1" s="1"/>
  <c r="F48" i="1" l="1"/>
  <c r="F36" i="1"/>
  <c r="F47" i="1"/>
  <c r="F46" i="1"/>
  <c r="F45" i="1"/>
  <c r="F44" i="1"/>
  <c r="F43" i="1"/>
  <c r="F42" i="1"/>
  <c r="F30" i="1"/>
  <c r="B24" i="1"/>
  <c r="F35" i="1"/>
  <c r="F34" i="1"/>
  <c r="F33" i="1"/>
  <c r="F32" i="1"/>
  <c r="F31" i="1"/>
  <c r="F41" i="1"/>
  <c r="F29" i="1"/>
  <c r="F40" i="1"/>
  <c r="F28" i="1"/>
  <c r="F25" i="1"/>
  <c r="F39" i="1"/>
  <c r="F27" i="1"/>
  <c r="F50" i="1"/>
  <c r="F38" i="1"/>
  <c r="F26" i="1"/>
  <c r="F49" i="1"/>
  <c r="F37" i="1"/>
  <c r="B6" i="1"/>
  <c r="B15" i="1"/>
  <c r="B19" i="1"/>
  <c r="B7" i="1"/>
  <c r="B18" i="1"/>
  <c r="B17" i="1"/>
  <c r="B16" i="1"/>
  <c r="B12" i="1"/>
  <c r="B9" i="1"/>
  <c r="B14" i="1"/>
  <c r="B13" i="1"/>
  <c r="B23" i="1"/>
  <c r="B11" i="1"/>
  <c r="B22" i="1"/>
  <c r="B10" i="1"/>
  <c r="B21" i="1"/>
  <c r="B20" i="1"/>
</calcChain>
</file>

<file path=xl/sharedStrings.xml><?xml version="1.0" encoding="utf-8"?>
<sst xmlns="http://schemas.openxmlformats.org/spreadsheetml/2006/main" count="12" uniqueCount="12">
  <si>
    <t>a</t>
  </si>
  <si>
    <t>h</t>
  </si>
  <si>
    <t>g (м/с^2)</t>
  </si>
  <si>
    <t>a(радианы)</t>
  </si>
  <si>
    <t>x</t>
  </si>
  <si>
    <t>y</t>
  </si>
  <si>
    <t>V0</t>
  </si>
  <si>
    <t>H</t>
  </si>
  <si>
    <t xml:space="preserve">Самая наибольшая высота </t>
  </si>
  <si>
    <t xml:space="preserve">Находим наибольшую высоту </t>
  </si>
  <si>
    <t xml:space="preserve">Участник не прошел в полуфинал </t>
  </si>
  <si>
    <t xml:space="preserve"> На чемпионате мира по метанию копья участнику из России, чтобы пройти в полуфинал, нужно преодолеть отметку в 75 метров (м).  
Копье будет брошено под углом 45 градусов. 
Найти наибольшую высоту, на которую подлетит копье.
Прошел ли участник в полуфинал?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</si>
</sst>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" fontId="0" fillId="3" borderId="1" xfId="0" applyNumberFormat="1" applyFill="1" applyBorder="1"/>
    <xf numFmtId="2" fontId="0" fillId="0" borderId="0" xfId="0" applyNumberFormat="1"/>
    <xf numFmtId="0" fontId="0" fillId="4" borderId="1" xfId="0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4" fontId="0" fillId="5" borderId="1" xfId="0" applyNumberFormat="1" applyFill="1" applyBorder="1"/>
    <xf numFmtId="164" fontId="0" fillId="3" borderId="1" xfId="0" applyNumberFormat="1" applyFill="1" applyBorder="1"/>
    <xf numFmtId="164" fontId="0" fillId="2" borderId="1" xfId="0" applyNumberFormat="1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5" borderId="1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Траектория полета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'Задача 2'!$A$6:$A$23</c:f>
              <c:numCache>
                <c:formatCode>0.00</c:formatCode>
                <c:ptCount val="18"/>
                <c:pt idx="0">
                  <c:v>0</c:v>
                </c:pt>
                <c:pt idx="1">
                  <c:v>3.75</c:v>
                </c:pt>
                <c:pt idx="2">
                  <c:v>7.5</c:v>
                </c:pt>
                <c:pt idx="3">
                  <c:v>11.25</c:v>
                </c:pt>
                <c:pt idx="4">
                  <c:v>15</c:v>
                </c:pt>
                <c:pt idx="5">
                  <c:v>18.75</c:v>
                </c:pt>
                <c:pt idx="6">
                  <c:v>22.5</c:v>
                </c:pt>
                <c:pt idx="7">
                  <c:v>26.25</c:v>
                </c:pt>
                <c:pt idx="8">
                  <c:v>30</c:v>
                </c:pt>
                <c:pt idx="9">
                  <c:v>33.75</c:v>
                </c:pt>
                <c:pt idx="10">
                  <c:v>37.5</c:v>
                </c:pt>
                <c:pt idx="11">
                  <c:v>41.25</c:v>
                </c:pt>
                <c:pt idx="12">
                  <c:v>45</c:v>
                </c:pt>
                <c:pt idx="13">
                  <c:v>48.75</c:v>
                </c:pt>
                <c:pt idx="14">
                  <c:v>52.5</c:v>
                </c:pt>
                <c:pt idx="15">
                  <c:v>56.25</c:v>
                </c:pt>
                <c:pt idx="16">
                  <c:v>60</c:v>
                </c:pt>
                <c:pt idx="17">
                  <c:v>63.75</c:v>
                </c:pt>
              </c:numCache>
            </c:numRef>
          </c:xVal>
          <c:yVal>
            <c:numRef>
              <c:f>'Задача 2'!$B$6:$B$23</c:f>
              <c:numCache>
                <c:formatCode>0.00</c:formatCode>
                <c:ptCount val="18"/>
                <c:pt idx="0">
                  <c:v>0</c:v>
                </c:pt>
                <c:pt idx="1">
                  <c:v>3.5294999999999996</c:v>
                </c:pt>
                <c:pt idx="2">
                  <c:v>6.6179999999999994</c:v>
                </c:pt>
                <c:pt idx="3">
                  <c:v>9.2654999999999976</c:v>
                </c:pt>
                <c:pt idx="4">
                  <c:v>11.471999999999998</c:v>
                </c:pt>
                <c:pt idx="5">
                  <c:v>13.237499999999997</c:v>
                </c:pt>
                <c:pt idx="6">
                  <c:v>14.561999999999998</c:v>
                </c:pt>
                <c:pt idx="7">
                  <c:v>15.445499999999997</c:v>
                </c:pt>
                <c:pt idx="8">
                  <c:v>15.887999999999996</c:v>
                </c:pt>
                <c:pt idx="9">
                  <c:v>15.889499999999995</c:v>
                </c:pt>
                <c:pt idx="10">
                  <c:v>15.449999999999992</c:v>
                </c:pt>
                <c:pt idx="11">
                  <c:v>14.569499999999994</c:v>
                </c:pt>
                <c:pt idx="12">
                  <c:v>13.247999999999994</c:v>
                </c:pt>
                <c:pt idx="13">
                  <c:v>11.485499999999995</c:v>
                </c:pt>
                <c:pt idx="14">
                  <c:v>9.2819999999999965</c:v>
                </c:pt>
                <c:pt idx="15">
                  <c:v>6.6374999999999957</c:v>
                </c:pt>
                <c:pt idx="16">
                  <c:v>3.5519999999999925</c:v>
                </c:pt>
                <c:pt idx="17">
                  <c:v>2.5499999999993861E-2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E7-403B-B61D-BD097E411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616512"/>
        <c:axId val="371752312"/>
      </c:scatterChart>
      <c:valAx>
        <c:axId val="48961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95157852143482069"/>
              <c:y val="0.7639581510644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1752312"/>
        <c:crosses val="autoZero"/>
        <c:crossBetween val="midCat"/>
      </c:valAx>
      <c:valAx>
        <c:axId val="37175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layout>
            <c:manualLayout>
              <c:xMode val="edge"/>
              <c:yMode val="edge"/>
              <c:x val="0.125"/>
              <c:y val="8.786271507728202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961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19050</xdr:rowOff>
    </xdr:from>
    <xdr:to>
      <xdr:col>11</xdr:col>
      <xdr:colOff>304800</xdr:colOff>
      <xdr:row>20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3126BC-AB6F-4D7C-9ECA-F3028815D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zoomScale="85" zoomScaleNormal="85" workbookViewId="0">
      <selection activeCell="M6" sqref="M6:T17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G1" s="1" t="s">
        <v>6</v>
      </c>
      <c r="H1" s="2">
        <v>25</v>
      </c>
      <c r="J1" s="1" t="s">
        <v>7</v>
      </c>
    </row>
    <row r="2" spans="1:20" x14ac:dyDescent="0.3">
      <c r="A2" s="2">
        <v>45</v>
      </c>
      <c r="B2" s="2">
        <v>0</v>
      </c>
      <c r="C2" s="5">
        <v>9.8000000000000007</v>
      </c>
      <c r="D2" s="3">
        <f>RADIANS(A2)</f>
        <v>0.78539816339744828</v>
      </c>
      <c r="E2" s="4"/>
      <c r="J2" s="7">
        <v>3.75</v>
      </c>
    </row>
    <row r="5" spans="1:20" x14ac:dyDescent="0.3">
      <c r="A5" s="1" t="s">
        <v>4</v>
      </c>
      <c r="B5" s="1" t="s">
        <v>5</v>
      </c>
    </row>
    <row r="6" spans="1:20" x14ac:dyDescent="0.3">
      <c r="A6" s="8">
        <v>0</v>
      </c>
      <c r="B6" s="5">
        <f>IF(TAN($D$2)*A6-$C$2/(2*$H$1*$H$1*(COS($D$2)*COS($D$2)))*(A6*A6)&gt;=0,TAN($D$2)*A6-$C$2/(2*$H$1*$H$1*(COS($D$2)*COS($D$2)))*(A6*A6),0)</f>
        <v>0</v>
      </c>
      <c r="M6" s="21" t="s">
        <v>11</v>
      </c>
      <c r="N6" s="22"/>
      <c r="O6" s="22"/>
      <c r="P6" s="22"/>
      <c r="Q6" s="22"/>
      <c r="R6" s="22"/>
      <c r="S6" s="22"/>
      <c r="T6" s="22"/>
    </row>
    <row r="7" spans="1:20" x14ac:dyDescent="0.3">
      <c r="A7" s="8">
        <v>3.75</v>
      </c>
      <c r="B7" s="5">
        <f t="shared" ref="B7:B24" si="0">IF(TAN($D$2)*A7-$C$2/(2*$H$1*$H$1*(COS($D$2)*COS($D$2)))*(A7*A7)&gt;=0,TAN($D$2)*A7-$C$2/(2*$H$1*$H$1*(COS($D$2)*COS($D$2)))*(A7*A7),0)</f>
        <v>3.5294999999999996</v>
      </c>
      <c r="M7" s="22"/>
      <c r="N7" s="22"/>
      <c r="O7" s="22"/>
      <c r="P7" s="22"/>
      <c r="Q7" s="22"/>
      <c r="R7" s="22"/>
      <c r="S7" s="22"/>
      <c r="T7" s="22"/>
    </row>
    <row r="8" spans="1:20" x14ac:dyDescent="0.3">
      <c r="A8" s="8">
        <v>7.5</v>
      </c>
      <c r="B8" s="5">
        <f t="shared" si="0"/>
        <v>6.6179999999999994</v>
      </c>
      <c r="M8" s="22"/>
      <c r="N8" s="22"/>
      <c r="O8" s="22"/>
      <c r="P8" s="22"/>
      <c r="Q8" s="22"/>
      <c r="R8" s="22"/>
      <c r="S8" s="22"/>
      <c r="T8" s="22"/>
    </row>
    <row r="9" spans="1:20" x14ac:dyDescent="0.3">
      <c r="A9" s="8">
        <v>11.25</v>
      </c>
      <c r="B9" s="5">
        <f t="shared" si="0"/>
        <v>9.2654999999999976</v>
      </c>
      <c r="M9" s="22"/>
      <c r="N9" s="22"/>
      <c r="O9" s="22"/>
      <c r="P9" s="22"/>
      <c r="Q9" s="22"/>
      <c r="R9" s="22"/>
      <c r="S9" s="22"/>
      <c r="T9" s="22"/>
    </row>
    <row r="10" spans="1:20" x14ac:dyDescent="0.3">
      <c r="A10" s="8">
        <v>15</v>
      </c>
      <c r="B10" s="5">
        <f t="shared" si="0"/>
        <v>11.471999999999998</v>
      </c>
      <c r="M10" s="22"/>
      <c r="N10" s="22"/>
      <c r="O10" s="22"/>
      <c r="P10" s="22"/>
      <c r="Q10" s="22"/>
      <c r="R10" s="22"/>
      <c r="S10" s="22"/>
      <c r="T10" s="22"/>
    </row>
    <row r="11" spans="1:20" x14ac:dyDescent="0.3">
      <c r="A11" s="8">
        <v>18.75</v>
      </c>
      <c r="B11" s="5">
        <f t="shared" si="0"/>
        <v>13.237499999999997</v>
      </c>
      <c r="M11" s="22"/>
      <c r="N11" s="22"/>
      <c r="O11" s="22"/>
      <c r="P11" s="22"/>
      <c r="Q11" s="22"/>
      <c r="R11" s="22"/>
      <c r="S11" s="22"/>
      <c r="T11" s="22"/>
    </row>
    <row r="12" spans="1:20" x14ac:dyDescent="0.3">
      <c r="A12" s="8">
        <v>22.5</v>
      </c>
      <c r="B12" s="5">
        <f t="shared" si="0"/>
        <v>14.561999999999998</v>
      </c>
      <c r="M12" s="22"/>
      <c r="N12" s="22"/>
      <c r="O12" s="22"/>
      <c r="P12" s="22"/>
      <c r="Q12" s="22"/>
      <c r="R12" s="22"/>
      <c r="S12" s="22"/>
      <c r="T12" s="22"/>
    </row>
    <row r="13" spans="1:20" x14ac:dyDescent="0.3">
      <c r="A13" s="8">
        <v>26.25</v>
      </c>
      <c r="B13" s="5">
        <f t="shared" si="0"/>
        <v>15.445499999999997</v>
      </c>
      <c r="M13" s="22"/>
      <c r="N13" s="22"/>
      <c r="O13" s="22"/>
      <c r="P13" s="22"/>
      <c r="Q13" s="22"/>
      <c r="R13" s="22"/>
      <c r="S13" s="22"/>
      <c r="T13" s="22"/>
    </row>
    <row r="14" spans="1:20" x14ac:dyDescent="0.3">
      <c r="A14" s="9">
        <v>30</v>
      </c>
      <c r="B14" s="9">
        <f t="shared" si="0"/>
        <v>15.887999999999996</v>
      </c>
      <c r="M14" s="22"/>
      <c r="N14" s="22"/>
      <c r="O14" s="22"/>
      <c r="P14" s="22"/>
      <c r="Q14" s="22"/>
      <c r="R14" s="22"/>
      <c r="S14" s="22"/>
      <c r="T14" s="22"/>
    </row>
    <row r="15" spans="1:20" x14ac:dyDescent="0.3">
      <c r="A15" s="9">
        <v>33.75</v>
      </c>
      <c r="B15" s="9">
        <f t="shared" si="0"/>
        <v>15.889499999999995</v>
      </c>
      <c r="M15" s="22"/>
      <c r="N15" s="22"/>
      <c r="O15" s="22"/>
      <c r="P15" s="22"/>
      <c r="Q15" s="22"/>
      <c r="R15" s="22"/>
      <c r="S15" s="22"/>
      <c r="T15" s="22"/>
    </row>
    <row r="16" spans="1:20" x14ac:dyDescent="0.3">
      <c r="A16" s="8">
        <v>37.5</v>
      </c>
      <c r="B16" s="5">
        <f t="shared" si="0"/>
        <v>15.449999999999992</v>
      </c>
      <c r="M16" s="22"/>
      <c r="N16" s="22"/>
      <c r="O16" s="22"/>
      <c r="P16" s="22"/>
      <c r="Q16" s="22"/>
      <c r="R16" s="22"/>
      <c r="S16" s="22"/>
      <c r="T16" s="22"/>
    </row>
    <row r="17" spans="1:20" x14ac:dyDescent="0.3">
      <c r="A17" s="8">
        <v>41.25</v>
      </c>
      <c r="B17" s="5">
        <f t="shared" si="0"/>
        <v>14.569499999999994</v>
      </c>
      <c r="M17" s="22"/>
      <c r="N17" s="22"/>
      <c r="O17" s="22"/>
      <c r="P17" s="22"/>
      <c r="Q17" s="22"/>
      <c r="R17" s="22"/>
      <c r="S17" s="22"/>
      <c r="T17" s="22"/>
    </row>
    <row r="18" spans="1:20" x14ac:dyDescent="0.3">
      <c r="A18" s="8">
        <v>45</v>
      </c>
      <c r="B18" s="5">
        <f t="shared" si="0"/>
        <v>13.247999999999994</v>
      </c>
    </row>
    <row r="19" spans="1:20" x14ac:dyDescent="0.3">
      <c r="A19" s="8">
        <v>48.75</v>
      </c>
      <c r="B19" s="5">
        <f t="shared" si="0"/>
        <v>11.485499999999995</v>
      </c>
    </row>
    <row r="20" spans="1:20" x14ac:dyDescent="0.3">
      <c r="A20" s="8">
        <v>52.5</v>
      </c>
      <c r="B20" s="5">
        <f t="shared" si="0"/>
        <v>9.2819999999999965</v>
      </c>
    </row>
    <row r="21" spans="1:20" x14ac:dyDescent="0.3">
      <c r="A21" s="8">
        <v>56.25</v>
      </c>
      <c r="B21" s="5">
        <f t="shared" si="0"/>
        <v>6.6374999999999957</v>
      </c>
    </row>
    <row r="22" spans="1:20" x14ac:dyDescent="0.3">
      <c r="A22" s="8">
        <v>60</v>
      </c>
      <c r="B22" s="5">
        <f t="shared" si="0"/>
        <v>3.5519999999999925</v>
      </c>
    </row>
    <row r="23" spans="1:20" x14ac:dyDescent="0.3">
      <c r="A23" s="8">
        <v>63.75</v>
      </c>
      <c r="B23" s="5">
        <f t="shared" si="0"/>
        <v>2.5499999999993861E-2</v>
      </c>
      <c r="E23" s="17" t="s">
        <v>9</v>
      </c>
      <c r="F23" s="18"/>
      <c r="G23" s="19"/>
    </row>
    <row r="24" spans="1:20" x14ac:dyDescent="0.3">
      <c r="A24" s="8">
        <v>63.78</v>
      </c>
      <c r="B24" s="5">
        <f t="shared" si="0"/>
        <v>0</v>
      </c>
      <c r="C24" s="6"/>
    </row>
    <row r="25" spans="1:20" x14ac:dyDescent="0.3">
      <c r="B25" s="6"/>
      <c r="C25" s="6"/>
      <c r="E25" s="9">
        <v>30</v>
      </c>
      <c r="F25" s="10">
        <f t="shared" ref="F25:F50" si="1">IF(TAN($D$2)*E25-$C$2/(2*$H$1*$H$1*(COS($D$2)*COS($D$2)))*(E25*E25)&gt;=0,TAN($D$2)*E25-$C$2/(2*$H$1*$H$1*(COS($D$2)*COS($D$2)))*(E25*E25),0)</f>
        <v>15.887999999999996</v>
      </c>
    </row>
    <row r="26" spans="1:20" x14ac:dyDescent="0.3">
      <c r="B26" s="6"/>
      <c r="C26" s="6"/>
      <c r="E26" s="2">
        <v>30.15</v>
      </c>
      <c r="F26" s="11">
        <f t="shared" si="1"/>
        <v>15.896527199999996</v>
      </c>
    </row>
    <row r="27" spans="1:20" x14ac:dyDescent="0.3">
      <c r="E27" s="5">
        <v>30.3</v>
      </c>
      <c r="F27" s="11">
        <f t="shared" si="1"/>
        <v>15.904348799999998</v>
      </c>
    </row>
    <row r="28" spans="1:20" x14ac:dyDescent="0.3">
      <c r="E28" s="2">
        <v>30.45</v>
      </c>
      <c r="F28" s="11">
        <f t="shared" si="1"/>
        <v>15.911464799999996</v>
      </c>
    </row>
    <row r="29" spans="1:20" x14ac:dyDescent="0.3">
      <c r="E29" s="5">
        <v>30.6</v>
      </c>
      <c r="F29" s="11">
        <f t="shared" si="1"/>
        <v>15.917875199999996</v>
      </c>
    </row>
    <row r="30" spans="1:20" x14ac:dyDescent="0.3">
      <c r="E30" s="2">
        <v>30.75</v>
      </c>
      <c r="F30" s="11">
        <f t="shared" si="1"/>
        <v>15.923579999999998</v>
      </c>
    </row>
    <row r="31" spans="1:20" x14ac:dyDescent="0.3">
      <c r="E31" s="5">
        <v>30.9</v>
      </c>
      <c r="F31" s="11">
        <f t="shared" si="1"/>
        <v>15.928579199999996</v>
      </c>
    </row>
    <row r="32" spans="1:20" x14ac:dyDescent="0.3">
      <c r="E32" s="2">
        <v>31.05</v>
      </c>
      <c r="F32" s="11">
        <f t="shared" si="1"/>
        <v>15.932872799999997</v>
      </c>
    </row>
    <row r="33" spans="3:9" x14ac:dyDescent="0.3">
      <c r="E33" s="5">
        <v>31.2</v>
      </c>
      <c r="F33" s="11">
        <f t="shared" si="1"/>
        <v>15.936460799999997</v>
      </c>
    </row>
    <row r="34" spans="3:9" x14ac:dyDescent="0.3">
      <c r="E34" s="2">
        <v>31.35</v>
      </c>
      <c r="F34" s="11">
        <f t="shared" si="1"/>
        <v>15.939343199999996</v>
      </c>
    </row>
    <row r="35" spans="3:9" x14ac:dyDescent="0.3">
      <c r="E35" s="5">
        <v>31.5</v>
      </c>
      <c r="F35" s="11">
        <f t="shared" si="1"/>
        <v>15.941519999999997</v>
      </c>
    </row>
    <row r="36" spans="3:9" x14ac:dyDescent="0.3">
      <c r="E36" s="2">
        <v>31.65</v>
      </c>
      <c r="F36" s="11">
        <f t="shared" si="1"/>
        <v>15.942991199999998</v>
      </c>
    </row>
    <row r="37" spans="3:9" x14ac:dyDescent="0.3">
      <c r="E37" s="5">
        <v>31.8</v>
      </c>
      <c r="F37" s="11">
        <f t="shared" si="1"/>
        <v>15.943756799999997</v>
      </c>
    </row>
    <row r="38" spans="3:9" x14ac:dyDescent="0.3">
      <c r="C38" s="1">
        <v>1</v>
      </c>
      <c r="E38" s="1">
        <v>31.95</v>
      </c>
      <c r="F38" s="12">
        <f t="shared" si="1"/>
        <v>15.943816799999997</v>
      </c>
      <c r="G38" s="13" t="s">
        <v>8</v>
      </c>
      <c r="H38" s="14"/>
      <c r="I38" s="15"/>
    </row>
    <row r="39" spans="3:9" x14ac:dyDescent="0.3">
      <c r="E39" s="5">
        <v>32.1</v>
      </c>
      <c r="F39" s="11">
        <f t="shared" si="1"/>
        <v>15.943171199999995</v>
      </c>
    </row>
    <row r="40" spans="3:9" x14ac:dyDescent="0.3">
      <c r="E40" s="2">
        <v>32.25</v>
      </c>
      <c r="F40" s="11">
        <f t="shared" si="1"/>
        <v>15.941819999999993</v>
      </c>
    </row>
    <row r="41" spans="3:9" x14ac:dyDescent="0.3">
      <c r="E41" s="5">
        <v>32.4</v>
      </c>
      <c r="F41" s="11">
        <f t="shared" si="1"/>
        <v>15.939763199999991</v>
      </c>
    </row>
    <row r="42" spans="3:9" x14ac:dyDescent="0.3">
      <c r="E42" s="2">
        <v>32.549999999999997</v>
      </c>
      <c r="F42" s="11">
        <f t="shared" si="1"/>
        <v>15.937000799999993</v>
      </c>
    </row>
    <row r="43" spans="3:9" x14ac:dyDescent="0.3">
      <c r="E43" s="5">
        <v>32.700000000000003</v>
      </c>
      <c r="F43" s="11">
        <f t="shared" si="1"/>
        <v>15.933532799999995</v>
      </c>
    </row>
    <row r="44" spans="3:9" x14ac:dyDescent="0.3">
      <c r="E44" s="2">
        <v>32.85</v>
      </c>
      <c r="F44" s="11">
        <f t="shared" si="1"/>
        <v>15.929359199999993</v>
      </c>
    </row>
    <row r="45" spans="3:9" x14ac:dyDescent="0.3">
      <c r="E45" s="5">
        <v>33</v>
      </c>
      <c r="F45" s="11">
        <f t="shared" si="1"/>
        <v>15.924479999999992</v>
      </c>
    </row>
    <row r="46" spans="3:9" x14ac:dyDescent="0.3">
      <c r="E46" s="2">
        <v>33.15</v>
      </c>
      <c r="F46" s="11">
        <f t="shared" si="1"/>
        <v>15.918895199999994</v>
      </c>
    </row>
    <row r="47" spans="3:9" x14ac:dyDescent="0.3">
      <c r="E47" s="5">
        <v>33.299999999999997</v>
      </c>
      <c r="F47" s="11">
        <f t="shared" si="1"/>
        <v>15.912604799999993</v>
      </c>
    </row>
    <row r="48" spans="3:9" x14ac:dyDescent="0.3">
      <c r="E48" s="2">
        <v>33.450000000000003</v>
      </c>
      <c r="F48" s="11">
        <f t="shared" si="1"/>
        <v>15.905608799999992</v>
      </c>
    </row>
    <row r="49" spans="3:11" x14ac:dyDescent="0.3">
      <c r="E49" s="5">
        <v>33.6</v>
      </c>
      <c r="F49" s="11">
        <f t="shared" si="1"/>
        <v>15.897907199999995</v>
      </c>
    </row>
    <row r="50" spans="3:11" x14ac:dyDescent="0.3">
      <c r="E50" s="16">
        <v>33.75</v>
      </c>
      <c r="F50" s="10">
        <f t="shared" si="1"/>
        <v>15.889499999999995</v>
      </c>
    </row>
    <row r="53" spans="3:11" x14ac:dyDescent="0.3">
      <c r="C53" s="1">
        <v>2</v>
      </c>
      <c r="E53" s="13" t="s">
        <v>10</v>
      </c>
      <c r="F53" s="14"/>
      <c r="G53" s="14"/>
      <c r="H53" s="15"/>
    </row>
    <row r="54" spans="3:11" ht="15.6" x14ac:dyDescent="0.3">
      <c r="K54" s="20"/>
    </row>
  </sheetData>
  <mergeCells count="1">
    <mergeCell ref="M6:T17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Славный</dc:creator>
  <cp:lastModifiedBy>Даниил Аннануров</cp:lastModifiedBy>
  <dcterms:created xsi:type="dcterms:W3CDTF">2022-10-16T16:36:31Z</dcterms:created>
  <dcterms:modified xsi:type="dcterms:W3CDTF">2022-10-25T08:45:24Z</dcterms:modified>
</cp:coreProperties>
</file>